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/>
  </bookViews>
  <sheets>
    <sheet name="Данные" sheetId="1" r:id="rId1"/>
    <sheet name="Анализ" sheetId="2" r:id="rId2"/>
    <sheet name="Дашборд" sheetId="3" r:id="rId3"/>
  </sheets>
  <definedNames>
    <definedName name="Срез_Категория">#N/A</definedName>
    <definedName name="Срез_Месяц">#N/A</definedName>
    <definedName name="Срез_Регион">#N/A</definedName>
  </definedNames>
  <calcPr calcId="152511" iterateDelta="1E-4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schemas.openxmlformats.org/spreadsheetml/2006/main">
  <c r="B14" i="3" l="1"/>
  <c r="B13" i="3"/>
  <c r="B12" i="3"/>
  <c r="B11" i="3"/>
  <c r="B10" i="3"/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B19" i="3" l="1"/>
  <c r="C19" i="3" s="1"/>
  <c r="B20" i="3"/>
  <c r="C20" i="3" s="1"/>
  <c r="B21" i="3"/>
  <c r="C21" i="3" s="1"/>
  <c r="B22" i="3"/>
  <c r="C22" i="3" s="1"/>
  <c r="B18" i="3"/>
  <c r="C18" i="3" s="1"/>
  <c r="B17" i="3"/>
  <c r="C17" i="3" s="1"/>
  <c r="F122" i="1"/>
  <c r="G122" i="1" s="1"/>
  <c r="B3" i="3"/>
  <c r="F22" i="1" l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F33" i="1"/>
  <c r="G33" i="1" s="1"/>
  <c r="F34" i="1"/>
  <c r="G34" i="1" s="1"/>
  <c r="F35" i="1"/>
  <c r="G35" i="1" s="1"/>
  <c r="F36" i="1"/>
  <c r="G36" i="1" s="1"/>
  <c r="F37" i="1"/>
  <c r="G37" i="1" s="1"/>
  <c r="F38" i="1"/>
  <c r="G38" i="1" s="1"/>
  <c r="F39" i="1"/>
  <c r="G39" i="1" s="1"/>
  <c r="F40" i="1"/>
  <c r="G40" i="1" s="1"/>
  <c r="F41" i="1"/>
  <c r="G41" i="1" s="1"/>
  <c r="F42" i="1"/>
  <c r="G42" i="1" s="1"/>
  <c r="F43" i="1"/>
  <c r="G43" i="1" s="1"/>
  <c r="F44" i="1"/>
  <c r="G44" i="1" s="1"/>
  <c r="F45" i="1"/>
  <c r="G45" i="1" s="1"/>
  <c r="F46" i="1"/>
  <c r="G46" i="1" s="1"/>
  <c r="F47" i="1"/>
  <c r="G47" i="1" s="1"/>
  <c r="F48" i="1"/>
  <c r="G48" i="1" s="1"/>
  <c r="F49" i="1"/>
  <c r="G49" i="1" s="1"/>
  <c r="F50" i="1"/>
  <c r="G50" i="1" s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60" i="1"/>
  <c r="G60" i="1" s="1"/>
  <c r="F61" i="1"/>
  <c r="G61" i="1" s="1"/>
  <c r="F62" i="1"/>
  <c r="G62" i="1" s="1"/>
  <c r="F63" i="1"/>
  <c r="G63" i="1" s="1"/>
  <c r="F64" i="1"/>
  <c r="G64" i="1" s="1"/>
  <c r="F65" i="1"/>
  <c r="G65" i="1" s="1"/>
  <c r="F66" i="1"/>
  <c r="G66" i="1" s="1"/>
  <c r="F67" i="1"/>
  <c r="G67" i="1" s="1"/>
  <c r="F68" i="1"/>
  <c r="G68" i="1" s="1"/>
  <c r="F69" i="1"/>
  <c r="G69" i="1" s="1"/>
  <c r="F70" i="1"/>
  <c r="G70" i="1" s="1"/>
  <c r="F71" i="1"/>
  <c r="G71" i="1" s="1"/>
  <c r="F72" i="1"/>
  <c r="G72" i="1" s="1"/>
  <c r="F73" i="1"/>
  <c r="G73" i="1" s="1"/>
  <c r="F74" i="1"/>
  <c r="G74" i="1" s="1"/>
  <c r="F75" i="1"/>
  <c r="G75" i="1" s="1"/>
  <c r="F76" i="1"/>
  <c r="G76" i="1" s="1"/>
  <c r="F77" i="1"/>
  <c r="G77" i="1" s="1"/>
  <c r="F78" i="1"/>
  <c r="G78" i="1" s="1"/>
  <c r="F79" i="1"/>
  <c r="G79" i="1" s="1"/>
  <c r="F80" i="1"/>
  <c r="G80" i="1" s="1"/>
  <c r="F81" i="1"/>
  <c r="G81" i="1" s="1"/>
  <c r="F82" i="1"/>
  <c r="G82" i="1" s="1"/>
  <c r="F83" i="1"/>
  <c r="G83" i="1" s="1"/>
  <c r="F84" i="1"/>
  <c r="G84" i="1" s="1"/>
  <c r="F85" i="1"/>
  <c r="G85" i="1" s="1"/>
  <c r="F86" i="1"/>
  <c r="G86" i="1" s="1"/>
  <c r="F87" i="1"/>
  <c r="G87" i="1" s="1"/>
  <c r="F88" i="1"/>
  <c r="G88" i="1" s="1"/>
  <c r="F89" i="1"/>
  <c r="G89" i="1" s="1"/>
  <c r="F90" i="1"/>
  <c r="G90" i="1" s="1"/>
  <c r="F91" i="1"/>
  <c r="G91" i="1" s="1"/>
  <c r="F92" i="1"/>
  <c r="G92" i="1" s="1"/>
  <c r="F93" i="1"/>
  <c r="G93" i="1" s="1"/>
  <c r="F94" i="1"/>
  <c r="G94" i="1" s="1"/>
  <c r="F95" i="1"/>
  <c r="G95" i="1" s="1"/>
  <c r="F96" i="1"/>
  <c r="G96" i="1" s="1"/>
  <c r="F97" i="1"/>
  <c r="G97" i="1" s="1"/>
  <c r="F98" i="1"/>
  <c r="G98" i="1" s="1"/>
  <c r="F99" i="1"/>
  <c r="G99" i="1" s="1"/>
  <c r="F100" i="1"/>
  <c r="G100" i="1" s="1"/>
  <c r="F101" i="1"/>
  <c r="G101" i="1" s="1"/>
  <c r="F102" i="1"/>
  <c r="G102" i="1" s="1"/>
  <c r="F103" i="1"/>
  <c r="G103" i="1" s="1"/>
  <c r="F104" i="1"/>
  <c r="G104" i="1" s="1"/>
  <c r="F105" i="1"/>
  <c r="G105" i="1" s="1"/>
  <c r="F106" i="1"/>
  <c r="G106" i="1" s="1"/>
  <c r="F107" i="1"/>
  <c r="G107" i="1" s="1"/>
  <c r="F108" i="1"/>
  <c r="G108" i="1" s="1"/>
  <c r="F109" i="1"/>
  <c r="G109" i="1" s="1"/>
  <c r="F110" i="1"/>
  <c r="G110" i="1" s="1"/>
  <c r="F111" i="1"/>
  <c r="G111" i="1" s="1"/>
  <c r="F112" i="1"/>
  <c r="G112" i="1" s="1"/>
  <c r="F113" i="1"/>
  <c r="G113" i="1" s="1"/>
  <c r="F114" i="1"/>
  <c r="G114" i="1" s="1"/>
  <c r="F115" i="1"/>
  <c r="G115" i="1" s="1"/>
  <c r="F116" i="1"/>
  <c r="G116" i="1" s="1"/>
  <c r="F117" i="1"/>
  <c r="G117" i="1" s="1"/>
  <c r="F118" i="1"/>
  <c r="G118" i="1" s="1"/>
  <c r="F119" i="1"/>
  <c r="G119" i="1" s="1"/>
  <c r="F120" i="1"/>
  <c r="G120" i="1" s="1"/>
  <c r="F121" i="1"/>
  <c r="G121" i="1" s="1"/>
  <c r="F18" i="1"/>
  <c r="G18" i="1" s="1"/>
  <c r="F19" i="1"/>
  <c r="G19" i="1" s="1"/>
  <c r="F20" i="1"/>
  <c r="G20" i="1" s="1"/>
  <c r="F21" i="1"/>
  <c r="G21" i="1" s="1"/>
  <c r="F3" i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2" i="1"/>
  <c r="B7" i="3" l="1"/>
  <c r="C7" i="3" s="1"/>
  <c r="G2" i="1"/>
  <c r="C13" i="3" l="1"/>
  <c r="C12" i="3"/>
  <c r="B6" i="3"/>
  <c r="C6" i="3" s="1"/>
  <c r="A3" i="3"/>
  <c r="C3" i="3" s="1"/>
  <c r="C11" i="3"/>
</calcChain>
</file>

<file path=xl/sharedStrings.xml><?xml version="1.0" encoding="utf-8"?>
<sst xmlns="http://schemas.openxmlformats.org/spreadsheetml/2006/main" count="435" uniqueCount="49">
  <si>
    <t>Дата</t>
  </si>
  <si>
    <t xml:space="preserve">Товар </t>
  </si>
  <si>
    <t xml:space="preserve">Категория </t>
  </si>
  <si>
    <t xml:space="preserve">Регион </t>
  </si>
  <si>
    <t>Количество</t>
  </si>
  <si>
    <t>Ноутбук</t>
  </si>
  <si>
    <t>Мышь</t>
  </si>
  <si>
    <t>Стол</t>
  </si>
  <si>
    <t xml:space="preserve">Стул </t>
  </si>
  <si>
    <t>Цена</t>
  </si>
  <si>
    <t>Шкаф</t>
  </si>
  <si>
    <t>Холодильник</t>
  </si>
  <si>
    <t>Электроника</t>
  </si>
  <si>
    <t xml:space="preserve">Мебель </t>
  </si>
  <si>
    <t>Москва</t>
  </si>
  <si>
    <t>Санкт-Петербург</t>
  </si>
  <si>
    <t>Казань</t>
  </si>
  <si>
    <t>Ярославль</t>
  </si>
  <si>
    <t>Краснадар</t>
  </si>
  <si>
    <t>Выручка</t>
  </si>
  <si>
    <t xml:space="preserve">Месяц </t>
  </si>
  <si>
    <t>Общий итог</t>
  </si>
  <si>
    <t>Категория</t>
  </si>
  <si>
    <t>Сумма Выручки</t>
  </si>
  <si>
    <t>Месяц</t>
  </si>
  <si>
    <t>Сумма  Выручки</t>
  </si>
  <si>
    <t>Товар</t>
  </si>
  <si>
    <t>Количество заказов</t>
  </si>
  <si>
    <t>Средний чек</t>
  </si>
  <si>
    <t>Дашборд продаж — 2025</t>
  </si>
  <si>
    <t>Общая выручка</t>
  </si>
  <si>
    <t>Топ категория</t>
  </si>
  <si>
    <t>Выручка, руб.</t>
  </si>
  <si>
    <t>Доля %</t>
  </si>
  <si>
    <t>Мебель</t>
  </si>
  <si>
    <t>vs. предыдущий месяц</t>
  </si>
  <si>
    <t>Январь</t>
  </si>
  <si>
    <t>Февраль</t>
  </si>
  <si>
    <t>Март</t>
  </si>
  <si>
    <t>Апрель</t>
  </si>
  <si>
    <t>Май</t>
  </si>
  <si>
    <t>—</t>
  </si>
  <si>
    <t xml:space="preserve">Начало месяца </t>
  </si>
  <si>
    <t>Ключевые выводы</t>
  </si>
  <si>
    <t>1. Электроника генерирует ~85% всей выручки — основной драйвер продаж.</t>
  </si>
  <si>
    <t>2. Ноутбук — топ-товар: более 57% выручки от всех продаж.</t>
  </si>
  <si>
    <t>4. Мебель приносит лишь 15% выручки, однако шкафы и столы стабильно продаются.</t>
  </si>
  <si>
    <t>3. Январь и апрель — лучшие месяцы</t>
  </si>
  <si>
    <t>5. Рекомендация: усилить продвижение мебели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</si>
</sst>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-* #,##0.00\ &quot;₽&quot;_-;\-* #,##0.00\ &quot;₽&quot;_-;_-* &quot;-&quot;??\ &quot;₽&quot;_-;_-@_-"/>
    <numFmt numFmtId="164" formatCode="_-* #,##0\ &quot;₽&quot;_-;\-* #,##0\ &quot;₽&quot;_-;_-* &quot;-&quot;??\ &quot;₽&quot;_-;_-@_-"/>
    <numFmt numFmtId="165" formatCode="_-* #,##0\ [$₽-419]_-;\-* #,##0\ [$₽-419]_-;_-* &quot;-&quot;??\ [$₽-419]_-;_-@_-"/>
    <numFmt numFmtId="166" formatCode="[$-1CDECE]\m\m\m\m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1"/>
      <color theme="1"/>
      <name val="Arial Narrow"/>
      <family val="2"/>
      <charset val="204"/>
    </font>
    <font>
      <b/>
      <sz val="18"/>
      <color rgb="FFFFFFFF"/>
      <name val="Arial"/>
      <family val="2"/>
      <charset val="204"/>
    </font>
    <font>
      <sz val="12"/>
      <color theme="1" tint="0.34998626667073579"/>
      <name val="Arial Narrow"/>
      <family val="2"/>
      <charset val="204"/>
    </font>
    <font>
      <b/>
      <sz val="14"/>
      <color theme="1"/>
      <name val="Arial Narrow"/>
      <family val="2"/>
      <charset val="204"/>
    </font>
    <font>
      <b/>
      <sz val="11"/>
      <color rgb="FFFFFFFF"/>
      <name val="Arial"/>
      <family val="2"/>
      <charset val="204"/>
    </font>
    <font>
      <b/>
      <sz val="11"/>
      <color rgb="FF1F4E79"/>
      <name val="Arial"/>
      <family val="2"/>
      <charset val="204"/>
    </font>
    <font>
      <i/>
      <sz val="10"/>
      <color rgb="FF2E75B6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  <fill>
      <patternFill patternType="solid">
        <fgColor rgb="FF1F4E79"/>
        <bgColor rgb="FF003366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2E75B6"/>
        <bgColor rgb="FF4F81BD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1" xfId="0" applyBorder="1"/>
    <xf numFmtId="14" fontId="0" fillId="0" borderId="2" xfId="0" applyNumberFormat="1" applyBorder="1"/>
    <xf numFmtId="0" fontId="0" fillId="0" borderId="3" xfId="0" applyBorder="1"/>
    <xf numFmtId="14" fontId="0" fillId="0" borderId="7" xfId="0" applyNumberFormat="1" applyBorder="1"/>
    <xf numFmtId="0" fontId="0" fillId="0" borderId="8" xfId="0" applyBorder="1"/>
    <xf numFmtId="0" fontId="0" fillId="0" borderId="9" xfId="0" applyBorder="1"/>
    <xf numFmtId="0" fontId="2" fillId="0" borderId="0" xfId="0" applyFont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6" xfId="0" applyFont="1" applyFill="1" applyBorder="1"/>
    <xf numFmtId="0" fontId="2" fillId="0" borderId="0" xfId="0" pivotButton="1" applyFont="1"/>
    <xf numFmtId="0" fontId="2" fillId="0" borderId="0" xfId="0" applyFont="1" applyAlignment="1">
      <alignment horizontal="left"/>
    </xf>
    <xf numFmtId="0" fontId="2" fillId="0" borderId="0" xfId="0" applyNumberFormat="1" applyFont="1"/>
    <xf numFmtId="0" fontId="5" fillId="0" borderId="0" xfId="0" applyFont="1"/>
    <xf numFmtId="44" fontId="0" fillId="0" borderId="0" xfId="1" applyFont="1"/>
    <xf numFmtId="0" fontId="7" fillId="5" borderId="0" xfId="0" applyFont="1" applyFill="1" applyAlignment="1">
      <alignment wrapText="1"/>
    </xf>
    <xf numFmtId="0" fontId="7" fillId="5" borderId="0" xfId="0" applyFont="1" applyFill="1"/>
    <xf numFmtId="164" fontId="8" fillId="0" borderId="0" xfId="1" applyNumberFormat="1" applyFont="1"/>
    <xf numFmtId="165" fontId="8" fillId="0" borderId="0" xfId="0" applyNumberFormat="1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6" borderId="0" xfId="0" applyFont="1" applyFill="1" applyAlignment="1">
      <alignment horizontal="center" vertical="center" wrapText="1"/>
    </xf>
    <xf numFmtId="0" fontId="0" fillId="0" borderId="0" xfId="0" applyAlignment="1"/>
    <xf numFmtId="9" fontId="0" fillId="0" borderId="0" xfId="2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Border="1"/>
    <xf numFmtId="0" fontId="0" fillId="2" borderId="0" xfId="0" applyFont="1" applyFill="1" applyBorder="1"/>
    <xf numFmtId="0" fontId="0" fillId="0" borderId="0" xfId="0" applyFont="1" applyBorder="1"/>
    <xf numFmtId="0" fontId="0" fillId="7" borderId="0" xfId="0" applyFill="1"/>
    <xf numFmtId="44" fontId="0" fillId="0" borderId="0" xfId="1" applyFont="1" applyBorder="1"/>
    <xf numFmtId="0" fontId="0" fillId="0" borderId="0" xfId="0" applyNumberFormat="1"/>
    <xf numFmtId="166" fontId="3" fillId="3" borderId="5" xfId="0" applyNumberFormat="1" applyFont="1" applyFill="1" applyBorder="1"/>
    <xf numFmtId="166" fontId="0" fillId="0" borderId="5" xfId="0" applyNumberFormat="1" applyBorder="1"/>
    <xf numFmtId="166" fontId="0" fillId="0" borderId="0" xfId="0" applyNumberFormat="1"/>
    <xf numFmtId="0" fontId="11" fillId="0" borderId="0" xfId="0" applyFont="1" applyBorder="1" applyAlignment="1">
      <alignment wrapText="1"/>
    </xf>
    <xf numFmtId="0" fontId="6" fillId="4" borderId="0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left" vertical="center" wrapText="1"/>
    </xf>
  </cellXfs>
  <cellStyles count="3">
    <cellStyle name="Денежный" xfId="1" builtinId="4"/>
    <cellStyle name="Обычный" xfId="0" builtinId="0"/>
    <cellStyle name="Процентный" xfId="2" builtinId="5"/>
  </cellStyles>
  <dxfs count="96"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166" formatCode="[$-1CDECE]\m\m\m\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</font>
      <fill>
        <patternFill patternType="solid">
          <fgColor indexed="64"/>
          <bgColor theme="4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alcChain" Target="calcChain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[КНИГА 1.xlsx]Анализ!СводнаяТаблица5</c:name>
    <c:fmtId val="1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Анализ!$B$8</c:f>
              <c:strCache>
                <c:ptCount val="1"/>
                <c:pt idx="0">
                  <c:v>Итог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Анализ!$A$9:$A$14</c:f>
              <c:strCache>
                <c:ptCount val="5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</c:strCache>
            </c:strRef>
          </c:cat>
          <c:val>
            <c:numRef>
              <c:f>Анализ!$B$9:$B$14</c:f>
              <c:numCache>
                <c:formatCode>General</c:formatCode>
                <c:ptCount val="5"/>
                <c:pt idx="0">
                  <c:v>5520900</c:v>
                </c:pt>
                <c:pt idx="1">
                  <c:v>3786300</c:v>
                </c:pt>
                <c:pt idx="2">
                  <c:v>3437600</c:v>
                </c:pt>
                <c:pt idx="3">
                  <c:v>5199300</c:v>
                </c:pt>
                <c:pt idx="4">
                  <c:v>495000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9952096"/>
        <c:axId val="251431608"/>
      </c:lineChart>
      <c:catAx>
        <c:axId val="249952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51431608"/>
        <c:crosses val="autoZero"/>
        <c:auto val="1"/>
        <c:lblAlgn val="ctr"/>
        <c:lblOffset val="100"/>
        <c:noMultiLvlLbl val="0"/>
      </c:catAx>
      <c:valAx>
        <c:axId val="251431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9952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[КНИГА 1.xlsx]Анализ!СводнаяТаблица4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Анализ!$B$2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Анализ!$A$3:$A$5</c:f>
              <c:strCache>
                <c:ptCount val="2"/>
                <c:pt idx="0">
                  <c:v>Мебель </c:v>
                </c:pt>
                <c:pt idx="1">
                  <c:v>Электроника</c:v>
                </c:pt>
              </c:strCache>
            </c:strRef>
          </c:cat>
          <c:val>
            <c:numRef>
              <c:f>Анализ!$B$3:$B$5</c:f>
              <c:numCache>
                <c:formatCode>General</c:formatCode>
                <c:ptCount val="2"/>
                <c:pt idx="0">
                  <c:v>835000</c:v>
                </c:pt>
                <c:pt idx="1">
                  <c:v>4685900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0009608"/>
        <c:axId val="249954640"/>
      </c:barChart>
      <c:catAx>
        <c:axId val="250009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9954640"/>
        <c:crosses val="autoZero"/>
        <c:auto val="1"/>
        <c:lblAlgn val="ctr"/>
        <c:lblOffset val="100"/>
        <c:noMultiLvlLbl val="0"/>
      </c:catAx>
      <c:valAx>
        <c:axId val="24995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50009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[КНИГА 1.xlsx]Анализ!СводнаяТаблица4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Продажи по</a:t>
            </a:r>
            <a:r>
              <a:rPr lang="ru-RU" baseline="0"/>
              <a:t> категориям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Анализ!$B$2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Анализ!$A$3:$A$5</c:f>
              <c:strCache>
                <c:ptCount val="2"/>
                <c:pt idx="0">
                  <c:v>Мебель </c:v>
                </c:pt>
                <c:pt idx="1">
                  <c:v>Электроника</c:v>
                </c:pt>
              </c:strCache>
            </c:strRef>
          </c:cat>
          <c:val>
            <c:numRef>
              <c:f>Анализ!$B$3:$B$5</c:f>
              <c:numCache>
                <c:formatCode>General</c:formatCode>
                <c:ptCount val="2"/>
                <c:pt idx="0">
                  <c:v>835000</c:v>
                </c:pt>
                <c:pt idx="1">
                  <c:v>4685900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0889288"/>
        <c:axId val="250935752"/>
      </c:barChart>
      <c:catAx>
        <c:axId val="250889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50935752"/>
        <c:crosses val="autoZero"/>
        <c:auto val="1"/>
        <c:lblAlgn val="ctr"/>
        <c:lblOffset val="100"/>
        <c:noMultiLvlLbl val="0"/>
      </c:catAx>
      <c:valAx>
        <c:axId val="250935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50889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[КНИГА 1.xlsx]Анализ!СводнаяТаблица5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Продажи по месяцам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Анализ!$B$8</c:f>
              <c:strCache>
                <c:ptCount val="1"/>
                <c:pt idx="0">
                  <c:v>Итог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Анализ!$A$9:$A$14</c:f>
              <c:strCache>
                <c:ptCount val="5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</c:strCache>
            </c:strRef>
          </c:cat>
          <c:val>
            <c:numRef>
              <c:f>Анализ!$B$9:$B$14</c:f>
              <c:numCache>
                <c:formatCode>General</c:formatCode>
                <c:ptCount val="5"/>
                <c:pt idx="0">
                  <c:v>5520900</c:v>
                </c:pt>
                <c:pt idx="1">
                  <c:v>3786300</c:v>
                </c:pt>
                <c:pt idx="2">
                  <c:v>3437600</c:v>
                </c:pt>
                <c:pt idx="3">
                  <c:v>5199300</c:v>
                </c:pt>
                <c:pt idx="4">
                  <c:v>495000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0853672"/>
        <c:axId val="250854056"/>
      </c:lineChart>
      <c:catAx>
        <c:axId val="250853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50854056"/>
        <c:crosses val="autoZero"/>
        <c:auto val="1"/>
        <c:lblAlgn val="ctr"/>
        <c:lblOffset val="100"/>
        <c:noMultiLvlLbl val="0"/>
      </c:catAx>
      <c:valAx>
        <c:axId val="250854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50853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[КНИГА 1.xlsx]Анализ!СводнаяТаблица6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Топ товаров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Анализ!$B$17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Анализ!$A$18:$A$24</c:f>
              <c:strCache>
                <c:ptCount val="6"/>
                <c:pt idx="0">
                  <c:v>Ноутбук</c:v>
                </c:pt>
                <c:pt idx="1">
                  <c:v>Холодильник</c:v>
                </c:pt>
                <c:pt idx="2">
                  <c:v>Шкаф</c:v>
                </c:pt>
                <c:pt idx="3">
                  <c:v>Стол</c:v>
                </c:pt>
                <c:pt idx="4">
                  <c:v>Стул </c:v>
                </c:pt>
                <c:pt idx="5">
                  <c:v>Мышь</c:v>
                </c:pt>
              </c:strCache>
            </c:strRef>
          </c:cat>
          <c:val>
            <c:numRef>
              <c:f>Анализ!$B$18:$B$24</c:f>
              <c:numCache>
                <c:formatCode>General</c:formatCode>
                <c:ptCount val="6"/>
                <c:pt idx="0">
                  <c:v>10665000</c:v>
                </c:pt>
                <c:pt idx="1">
                  <c:v>4788000</c:v>
                </c:pt>
                <c:pt idx="2">
                  <c:v>1760000</c:v>
                </c:pt>
                <c:pt idx="3">
                  <c:v>790000</c:v>
                </c:pt>
                <c:pt idx="4">
                  <c:v>306600</c:v>
                </c:pt>
                <c:pt idx="5">
                  <c:v>129500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940224"/>
        <c:axId val="251076008"/>
      </c:barChart>
      <c:catAx>
        <c:axId val="146940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51076008"/>
        <c:crosses val="autoZero"/>
        <c:auto val="1"/>
        <c:lblAlgn val="ctr"/>
        <c:lblOffset val="100"/>
        <c:noMultiLvlLbl val="0"/>
      </c:catAx>
      <c:valAx>
        <c:axId val="251076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6940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180976</xdr:rowOff>
    </xdr:from>
    <xdr:to>
      <xdr:col>7</xdr:col>
      <xdr:colOff>447675</xdr:colOff>
      <xdr:row>10</xdr:row>
      <xdr:rowOff>161926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1047750</xdr:colOff>
      <xdr:row>12</xdr:row>
      <xdr:rowOff>4762</xdr:rowOff>
    </xdr:from>
    <xdr:to>
      <xdr:col>7</xdr:col>
      <xdr:colOff>428625</xdr:colOff>
      <xdr:row>26</xdr:row>
      <xdr:rowOff>80962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6</xdr:row>
      <xdr:rowOff>76200</xdr:rowOff>
    </xdr:from>
    <xdr:to>
      <xdr:col>11</xdr:col>
      <xdr:colOff>409575</xdr:colOff>
      <xdr:row>19</xdr:row>
      <xdr:rowOff>152400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419100</xdr:colOff>
      <xdr:row>6</xdr:row>
      <xdr:rowOff>76200</xdr:rowOff>
    </xdr:from>
    <xdr:to>
      <xdr:col>18</xdr:col>
      <xdr:colOff>428625</xdr:colOff>
      <xdr:row>19</xdr:row>
      <xdr:rowOff>152400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28575</xdr:colOff>
      <xdr:row>19</xdr:row>
      <xdr:rowOff>152400</xdr:rowOff>
    </xdr:from>
    <xdr:to>
      <xdr:col>15</xdr:col>
      <xdr:colOff>247650</xdr:colOff>
      <xdr:row>34</xdr:row>
      <xdr:rowOff>38100</xdr:rowOff>
    </xdr:to>
    <xdr:graphicFrame macro="">
      <xdr:nvGraphicFramePr>
        <xdr:cNvPr id="4" name="Диаграмма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257175</xdr:colOff>
      <xdr:row>0</xdr:row>
      <xdr:rowOff>28576</xdr:rowOff>
    </xdr:from>
    <xdr:to>
      <xdr:col>7</xdr:col>
      <xdr:colOff>257175</xdr:colOff>
      <xdr:row>2</xdr:row>
      <xdr:rowOff>219076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Категория 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Категория 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33975" y="28576"/>
              <a:ext cx="1828800" cy="952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257175</xdr:colOff>
      <xdr:row>0</xdr:row>
      <xdr:rowOff>28575</xdr:rowOff>
    </xdr:from>
    <xdr:to>
      <xdr:col>10</xdr:col>
      <xdr:colOff>257175</xdr:colOff>
      <xdr:row>6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Регион 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Регион 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62775" y="28575"/>
              <a:ext cx="1828800" cy="1752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266700</xdr:colOff>
      <xdr:row>0</xdr:row>
      <xdr:rowOff>28575</xdr:rowOff>
    </xdr:from>
    <xdr:to>
      <xdr:col>13</xdr:col>
      <xdr:colOff>266700</xdr:colOff>
      <xdr:row>6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Месяц 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Месяц 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01100" y="28575"/>
              <a:ext cx="1828800" cy="1733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n\Desktop\&#1050;&#1053;&#1048;&#1043;&#1040;%201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Автор" refreshedDate="46098.628066898149" createdVersion="5" refreshedVersion="5" minRefreshableVersion="3" recordCount="121">
  <cacheSource type="worksheet">
    <worksheetSource name="Данные" r:id="rId2"/>
  </cacheSource>
  <cacheFields count="8">
    <cacheField name="Дата" numFmtId="14">
      <sharedItems containsSemiMixedTypes="0" containsNonDate="0" containsDate="1" containsString="0" minDate="2025-01-01T00:00:00" maxDate="2025-05-02T00:00:00" count="121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</sharedItems>
    </cacheField>
    <cacheField name="Товар " numFmtId="0">
      <sharedItems count="6">
        <s v="Ноутбук"/>
        <s v="Мышь"/>
        <s v="Стол"/>
        <s v="Стул "/>
        <s v="Шкаф"/>
        <s v="Холодильник"/>
      </sharedItems>
    </cacheField>
    <cacheField name="Категория " numFmtId="0">
      <sharedItems count="2">
        <s v="Электроника"/>
        <s v="Мебель "/>
      </sharedItems>
    </cacheField>
    <cacheField name="Регион " numFmtId="0">
      <sharedItems count="5">
        <s v="Москва"/>
        <s v="Санкт-Петербург"/>
        <s v="Казань"/>
        <s v="Ярославль"/>
        <s v="Краснадар"/>
      </sharedItems>
    </cacheField>
    <cacheField name="Количество" numFmtId="0">
      <sharedItems containsSemiMixedTypes="0" containsString="0" containsNumber="1" containsInteger="1" minValue="1" maxValue="15"/>
    </cacheField>
    <cacheField name="Цена" numFmtId="0">
      <sharedItems containsSemiMixedTypes="0" containsString="0" containsNumber="1" containsInteger="1" minValue="700" maxValue="45000"/>
    </cacheField>
    <cacheField name="Выручка" numFmtId="0">
      <sharedItems containsSemiMixedTypes="0" containsString="0" containsNumber="1" containsInteger="1" minValue="1400" maxValue="675000"/>
    </cacheField>
    <cacheField name="Месяц " numFmtId="0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1">
  <r>
    <x v="0"/>
    <x v="0"/>
    <x v="0"/>
    <x v="0"/>
    <n v="15"/>
    <n v="45000"/>
    <n v="675000"/>
    <x v="0"/>
  </r>
  <r>
    <x v="1"/>
    <x v="1"/>
    <x v="0"/>
    <x v="1"/>
    <n v="13"/>
    <n v="700"/>
    <n v="9100"/>
    <x v="0"/>
  </r>
  <r>
    <x v="2"/>
    <x v="2"/>
    <x v="1"/>
    <x v="0"/>
    <n v="1"/>
    <n v="5000"/>
    <n v="5000"/>
    <x v="0"/>
  </r>
  <r>
    <x v="3"/>
    <x v="3"/>
    <x v="1"/>
    <x v="1"/>
    <n v="9"/>
    <n v="2100"/>
    <n v="18900"/>
    <x v="0"/>
  </r>
  <r>
    <x v="4"/>
    <x v="4"/>
    <x v="1"/>
    <x v="1"/>
    <n v="13"/>
    <n v="11000"/>
    <n v="143000"/>
    <x v="0"/>
  </r>
  <r>
    <x v="5"/>
    <x v="5"/>
    <x v="0"/>
    <x v="0"/>
    <n v="9"/>
    <n v="36000"/>
    <n v="324000"/>
    <x v="0"/>
  </r>
  <r>
    <x v="6"/>
    <x v="0"/>
    <x v="0"/>
    <x v="2"/>
    <n v="13"/>
    <n v="45000"/>
    <n v="585000"/>
    <x v="0"/>
  </r>
  <r>
    <x v="7"/>
    <x v="1"/>
    <x v="0"/>
    <x v="3"/>
    <n v="3"/>
    <n v="700"/>
    <n v="2100"/>
    <x v="0"/>
  </r>
  <r>
    <x v="8"/>
    <x v="2"/>
    <x v="1"/>
    <x v="4"/>
    <n v="12"/>
    <n v="5000"/>
    <n v="60000"/>
    <x v="0"/>
  </r>
  <r>
    <x v="9"/>
    <x v="3"/>
    <x v="1"/>
    <x v="4"/>
    <n v="11"/>
    <n v="2100"/>
    <n v="23100"/>
    <x v="0"/>
  </r>
  <r>
    <x v="10"/>
    <x v="4"/>
    <x v="1"/>
    <x v="3"/>
    <n v="5"/>
    <n v="11000"/>
    <n v="55000"/>
    <x v="0"/>
  </r>
  <r>
    <x v="11"/>
    <x v="5"/>
    <x v="0"/>
    <x v="0"/>
    <n v="12"/>
    <n v="36000"/>
    <n v="432000"/>
    <x v="0"/>
  </r>
  <r>
    <x v="12"/>
    <x v="0"/>
    <x v="0"/>
    <x v="1"/>
    <n v="5"/>
    <n v="45000"/>
    <n v="225000"/>
    <x v="0"/>
  </r>
  <r>
    <x v="13"/>
    <x v="1"/>
    <x v="0"/>
    <x v="0"/>
    <n v="9"/>
    <n v="700"/>
    <n v="6300"/>
    <x v="0"/>
  </r>
  <r>
    <x v="14"/>
    <x v="2"/>
    <x v="1"/>
    <x v="1"/>
    <n v="15"/>
    <n v="5000"/>
    <n v="75000"/>
    <x v="0"/>
  </r>
  <r>
    <x v="15"/>
    <x v="3"/>
    <x v="1"/>
    <x v="1"/>
    <n v="7"/>
    <n v="2100"/>
    <n v="14700"/>
    <x v="0"/>
  </r>
  <r>
    <x v="16"/>
    <x v="4"/>
    <x v="1"/>
    <x v="0"/>
    <n v="12"/>
    <n v="11000"/>
    <n v="132000"/>
    <x v="0"/>
  </r>
  <r>
    <x v="17"/>
    <x v="5"/>
    <x v="0"/>
    <x v="2"/>
    <n v="9"/>
    <n v="36000"/>
    <n v="324000"/>
    <x v="0"/>
  </r>
  <r>
    <x v="18"/>
    <x v="0"/>
    <x v="0"/>
    <x v="3"/>
    <n v="14"/>
    <n v="45000"/>
    <n v="630000"/>
    <x v="0"/>
  </r>
  <r>
    <x v="19"/>
    <x v="1"/>
    <x v="0"/>
    <x v="4"/>
    <n v="10"/>
    <n v="700"/>
    <n v="7000"/>
    <x v="0"/>
  </r>
  <r>
    <x v="20"/>
    <x v="2"/>
    <x v="1"/>
    <x v="4"/>
    <n v="1"/>
    <n v="5000"/>
    <n v="5000"/>
    <x v="0"/>
  </r>
  <r>
    <x v="21"/>
    <x v="3"/>
    <x v="1"/>
    <x v="3"/>
    <n v="2"/>
    <n v="2100"/>
    <n v="4200"/>
    <x v="0"/>
  </r>
  <r>
    <x v="22"/>
    <x v="4"/>
    <x v="1"/>
    <x v="0"/>
    <n v="12"/>
    <n v="11000"/>
    <n v="132000"/>
    <x v="0"/>
  </r>
  <r>
    <x v="23"/>
    <x v="5"/>
    <x v="0"/>
    <x v="1"/>
    <n v="6"/>
    <n v="36000"/>
    <n v="216000"/>
    <x v="0"/>
  </r>
  <r>
    <x v="24"/>
    <x v="0"/>
    <x v="0"/>
    <x v="0"/>
    <n v="14"/>
    <n v="45000"/>
    <n v="630000"/>
    <x v="0"/>
  </r>
  <r>
    <x v="25"/>
    <x v="1"/>
    <x v="0"/>
    <x v="1"/>
    <n v="12"/>
    <n v="700"/>
    <n v="8400"/>
    <x v="0"/>
  </r>
  <r>
    <x v="26"/>
    <x v="2"/>
    <x v="1"/>
    <x v="1"/>
    <n v="9"/>
    <n v="5000"/>
    <n v="45000"/>
    <x v="0"/>
  </r>
  <r>
    <x v="27"/>
    <x v="3"/>
    <x v="1"/>
    <x v="0"/>
    <n v="11"/>
    <n v="2100"/>
    <n v="23100"/>
    <x v="0"/>
  </r>
  <r>
    <x v="28"/>
    <x v="4"/>
    <x v="1"/>
    <x v="2"/>
    <n v="9"/>
    <n v="11000"/>
    <n v="99000"/>
    <x v="0"/>
  </r>
  <r>
    <x v="29"/>
    <x v="5"/>
    <x v="0"/>
    <x v="3"/>
    <n v="2"/>
    <n v="36000"/>
    <n v="72000"/>
    <x v="0"/>
  </r>
  <r>
    <x v="30"/>
    <x v="0"/>
    <x v="0"/>
    <x v="4"/>
    <n v="12"/>
    <n v="45000"/>
    <n v="540000"/>
    <x v="0"/>
  </r>
  <r>
    <x v="31"/>
    <x v="1"/>
    <x v="0"/>
    <x v="4"/>
    <n v="12"/>
    <n v="700"/>
    <n v="8400"/>
    <x v="1"/>
  </r>
  <r>
    <x v="32"/>
    <x v="2"/>
    <x v="1"/>
    <x v="3"/>
    <n v="4"/>
    <n v="5000"/>
    <n v="20000"/>
    <x v="1"/>
  </r>
  <r>
    <x v="33"/>
    <x v="3"/>
    <x v="1"/>
    <x v="0"/>
    <n v="13"/>
    <n v="2100"/>
    <n v="27300"/>
    <x v="1"/>
  </r>
  <r>
    <x v="34"/>
    <x v="4"/>
    <x v="1"/>
    <x v="1"/>
    <n v="14"/>
    <n v="11000"/>
    <n v="154000"/>
    <x v="1"/>
  </r>
  <r>
    <x v="35"/>
    <x v="5"/>
    <x v="0"/>
    <x v="0"/>
    <n v="4"/>
    <n v="36000"/>
    <n v="144000"/>
    <x v="1"/>
  </r>
  <r>
    <x v="36"/>
    <x v="0"/>
    <x v="0"/>
    <x v="1"/>
    <n v="6"/>
    <n v="45000"/>
    <n v="270000"/>
    <x v="1"/>
  </r>
  <r>
    <x v="37"/>
    <x v="1"/>
    <x v="0"/>
    <x v="1"/>
    <n v="9"/>
    <n v="700"/>
    <n v="6300"/>
    <x v="1"/>
  </r>
  <r>
    <x v="38"/>
    <x v="2"/>
    <x v="1"/>
    <x v="0"/>
    <n v="7"/>
    <n v="5000"/>
    <n v="35000"/>
    <x v="1"/>
  </r>
  <r>
    <x v="39"/>
    <x v="3"/>
    <x v="1"/>
    <x v="2"/>
    <n v="7"/>
    <n v="2100"/>
    <n v="14700"/>
    <x v="1"/>
  </r>
  <r>
    <x v="40"/>
    <x v="4"/>
    <x v="1"/>
    <x v="3"/>
    <n v="9"/>
    <n v="11000"/>
    <n v="99000"/>
    <x v="1"/>
  </r>
  <r>
    <x v="41"/>
    <x v="5"/>
    <x v="0"/>
    <x v="4"/>
    <n v="6"/>
    <n v="36000"/>
    <n v="216000"/>
    <x v="1"/>
  </r>
  <r>
    <x v="42"/>
    <x v="0"/>
    <x v="0"/>
    <x v="4"/>
    <n v="15"/>
    <n v="45000"/>
    <n v="675000"/>
    <x v="1"/>
  </r>
  <r>
    <x v="43"/>
    <x v="1"/>
    <x v="0"/>
    <x v="3"/>
    <n v="15"/>
    <n v="700"/>
    <n v="10500"/>
    <x v="1"/>
  </r>
  <r>
    <x v="44"/>
    <x v="2"/>
    <x v="1"/>
    <x v="0"/>
    <n v="14"/>
    <n v="5000"/>
    <n v="70000"/>
    <x v="1"/>
  </r>
  <r>
    <x v="45"/>
    <x v="3"/>
    <x v="1"/>
    <x v="1"/>
    <n v="8"/>
    <n v="2100"/>
    <n v="16800"/>
    <x v="1"/>
  </r>
  <r>
    <x v="46"/>
    <x v="4"/>
    <x v="1"/>
    <x v="0"/>
    <n v="4"/>
    <n v="11000"/>
    <n v="44000"/>
    <x v="1"/>
  </r>
  <r>
    <x v="47"/>
    <x v="5"/>
    <x v="0"/>
    <x v="1"/>
    <n v="6"/>
    <n v="36000"/>
    <n v="216000"/>
    <x v="1"/>
  </r>
  <r>
    <x v="48"/>
    <x v="0"/>
    <x v="0"/>
    <x v="1"/>
    <n v="11"/>
    <n v="45000"/>
    <n v="495000"/>
    <x v="1"/>
  </r>
  <r>
    <x v="49"/>
    <x v="1"/>
    <x v="0"/>
    <x v="0"/>
    <n v="8"/>
    <n v="700"/>
    <n v="5600"/>
    <x v="1"/>
  </r>
  <r>
    <x v="50"/>
    <x v="2"/>
    <x v="1"/>
    <x v="2"/>
    <n v="3"/>
    <n v="5000"/>
    <n v="15000"/>
    <x v="1"/>
  </r>
  <r>
    <x v="51"/>
    <x v="3"/>
    <x v="1"/>
    <x v="3"/>
    <n v="2"/>
    <n v="2100"/>
    <n v="4200"/>
    <x v="1"/>
  </r>
  <r>
    <x v="52"/>
    <x v="4"/>
    <x v="1"/>
    <x v="4"/>
    <n v="15"/>
    <n v="11000"/>
    <n v="165000"/>
    <x v="1"/>
  </r>
  <r>
    <x v="53"/>
    <x v="5"/>
    <x v="0"/>
    <x v="4"/>
    <n v="12"/>
    <n v="36000"/>
    <n v="432000"/>
    <x v="1"/>
  </r>
  <r>
    <x v="54"/>
    <x v="0"/>
    <x v="0"/>
    <x v="3"/>
    <n v="12"/>
    <n v="45000"/>
    <n v="540000"/>
    <x v="1"/>
  </r>
  <r>
    <x v="55"/>
    <x v="1"/>
    <x v="0"/>
    <x v="0"/>
    <n v="13"/>
    <n v="700"/>
    <n v="9100"/>
    <x v="1"/>
  </r>
  <r>
    <x v="56"/>
    <x v="2"/>
    <x v="1"/>
    <x v="1"/>
    <n v="6"/>
    <n v="5000"/>
    <n v="30000"/>
    <x v="1"/>
  </r>
  <r>
    <x v="57"/>
    <x v="3"/>
    <x v="1"/>
    <x v="0"/>
    <n v="4"/>
    <n v="2100"/>
    <n v="8400"/>
    <x v="1"/>
  </r>
  <r>
    <x v="58"/>
    <x v="4"/>
    <x v="1"/>
    <x v="1"/>
    <n v="5"/>
    <n v="11000"/>
    <n v="55000"/>
    <x v="1"/>
  </r>
  <r>
    <x v="59"/>
    <x v="5"/>
    <x v="0"/>
    <x v="1"/>
    <n v="4"/>
    <n v="36000"/>
    <n v="144000"/>
    <x v="2"/>
  </r>
  <r>
    <x v="60"/>
    <x v="0"/>
    <x v="0"/>
    <x v="0"/>
    <n v="15"/>
    <n v="45000"/>
    <n v="675000"/>
    <x v="2"/>
  </r>
  <r>
    <x v="61"/>
    <x v="1"/>
    <x v="0"/>
    <x v="2"/>
    <n v="12"/>
    <n v="700"/>
    <n v="8400"/>
    <x v="2"/>
  </r>
  <r>
    <x v="62"/>
    <x v="2"/>
    <x v="1"/>
    <x v="3"/>
    <n v="10"/>
    <n v="5000"/>
    <n v="50000"/>
    <x v="2"/>
  </r>
  <r>
    <x v="63"/>
    <x v="3"/>
    <x v="1"/>
    <x v="4"/>
    <n v="2"/>
    <n v="2100"/>
    <n v="4200"/>
    <x v="2"/>
  </r>
  <r>
    <x v="64"/>
    <x v="4"/>
    <x v="1"/>
    <x v="4"/>
    <n v="4"/>
    <n v="11000"/>
    <n v="44000"/>
    <x v="2"/>
  </r>
  <r>
    <x v="65"/>
    <x v="5"/>
    <x v="0"/>
    <x v="3"/>
    <n v="1"/>
    <n v="36000"/>
    <n v="36000"/>
    <x v="2"/>
  </r>
  <r>
    <x v="66"/>
    <x v="0"/>
    <x v="0"/>
    <x v="0"/>
    <n v="1"/>
    <n v="45000"/>
    <n v="45000"/>
    <x v="2"/>
  </r>
  <r>
    <x v="67"/>
    <x v="1"/>
    <x v="0"/>
    <x v="1"/>
    <n v="9"/>
    <n v="700"/>
    <n v="6300"/>
    <x v="2"/>
  </r>
  <r>
    <x v="68"/>
    <x v="2"/>
    <x v="1"/>
    <x v="0"/>
    <n v="13"/>
    <n v="5000"/>
    <n v="65000"/>
    <x v="2"/>
  </r>
  <r>
    <x v="69"/>
    <x v="3"/>
    <x v="1"/>
    <x v="1"/>
    <n v="12"/>
    <n v="2100"/>
    <n v="25200"/>
    <x v="2"/>
  </r>
  <r>
    <x v="70"/>
    <x v="4"/>
    <x v="1"/>
    <x v="1"/>
    <n v="7"/>
    <n v="11000"/>
    <n v="77000"/>
    <x v="2"/>
  </r>
  <r>
    <x v="71"/>
    <x v="5"/>
    <x v="0"/>
    <x v="0"/>
    <n v="3"/>
    <n v="36000"/>
    <n v="108000"/>
    <x v="2"/>
  </r>
  <r>
    <x v="72"/>
    <x v="0"/>
    <x v="0"/>
    <x v="2"/>
    <n v="2"/>
    <n v="45000"/>
    <n v="90000"/>
    <x v="2"/>
  </r>
  <r>
    <x v="73"/>
    <x v="1"/>
    <x v="0"/>
    <x v="3"/>
    <n v="8"/>
    <n v="700"/>
    <n v="5600"/>
    <x v="2"/>
  </r>
  <r>
    <x v="74"/>
    <x v="2"/>
    <x v="1"/>
    <x v="4"/>
    <n v="3"/>
    <n v="5000"/>
    <n v="15000"/>
    <x v="2"/>
  </r>
  <r>
    <x v="75"/>
    <x v="3"/>
    <x v="1"/>
    <x v="4"/>
    <n v="10"/>
    <n v="2100"/>
    <n v="21000"/>
    <x v="2"/>
  </r>
  <r>
    <x v="76"/>
    <x v="4"/>
    <x v="1"/>
    <x v="3"/>
    <n v="8"/>
    <n v="11000"/>
    <n v="88000"/>
    <x v="2"/>
  </r>
  <r>
    <x v="77"/>
    <x v="5"/>
    <x v="0"/>
    <x v="0"/>
    <n v="1"/>
    <n v="36000"/>
    <n v="36000"/>
    <x v="2"/>
  </r>
  <r>
    <x v="78"/>
    <x v="0"/>
    <x v="0"/>
    <x v="1"/>
    <n v="13"/>
    <n v="45000"/>
    <n v="585000"/>
    <x v="2"/>
  </r>
  <r>
    <x v="79"/>
    <x v="1"/>
    <x v="0"/>
    <x v="0"/>
    <n v="8"/>
    <n v="700"/>
    <n v="5600"/>
    <x v="2"/>
  </r>
  <r>
    <x v="80"/>
    <x v="2"/>
    <x v="1"/>
    <x v="1"/>
    <n v="15"/>
    <n v="5000"/>
    <n v="75000"/>
    <x v="2"/>
  </r>
  <r>
    <x v="81"/>
    <x v="3"/>
    <x v="1"/>
    <x v="1"/>
    <n v="9"/>
    <n v="2100"/>
    <n v="18900"/>
    <x v="2"/>
  </r>
  <r>
    <x v="82"/>
    <x v="4"/>
    <x v="1"/>
    <x v="0"/>
    <n v="8"/>
    <n v="11000"/>
    <n v="88000"/>
    <x v="2"/>
  </r>
  <r>
    <x v="83"/>
    <x v="5"/>
    <x v="0"/>
    <x v="2"/>
    <n v="10"/>
    <n v="36000"/>
    <n v="360000"/>
    <x v="2"/>
  </r>
  <r>
    <x v="84"/>
    <x v="0"/>
    <x v="0"/>
    <x v="3"/>
    <n v="7"/>
    <n v="45000"/>
    <n v="315000"/>
    <x v="2"/>
  </r>
  <r>
    <x v="85"/>
    <x v="1"/>
    <x v="0"/>
    <x v="4"/>
    <n v="14"/>
    <n v="700"/>
    <n v="9800"/>
    <x v="2"/>
  </r>
  <r>
    <x v="86"/>
    <x v="2"/>
    <x v="1"/>
    <x v="4"/>
    <n v="4"/>
    <n v="5000"/>
    <n v="20000"/>
    <x v="2"/>
  </r>
  <r>
    <x v="87"/>
    <x v="3"/>
    <x v="1"/>
    <x v="3"/>
    <n v="6"/>
    <n v="2100"/>
    <n v="12600"/>
    <x v="2"/>
  </r>
  <r>
    <x v="88"/>
    <x v="4"/>
    <x v="1"/>
    <x v="0"/>
    <n v="4"/>
    <n v="11000"/>
    <n v="44000"/>
    <x v="2"/>
  </r>
  <r>
    <x v="89"/>
    <x v="5"/>
    <x v="0"/>
    <x v="1"/>
    <n v="10"/>
    <n v="36000"/>
    <n v="360000"/>
    <x v="2"/>
  </r>
  <r>
    <x v="90"/>
    <x v="0"/>
    <x v="0"/>
    <x v="0"/>
    <n v="13"/>
    <n v="45000"/>
    <n v="585000"/>
    <x v="3"/>
  </r>
  <r>
    <x v="91"/>
    <x v="1"/>
    <x v="0"/>
    <x v="1"/>
    <n v="6"/>
    <n v="700"/>
    <n v="4200"/>
    <x v="3"/>
  </r>
  <r>
    <x v="92"/>
    <x v="2"/>
    <x v="1"/>
    <x v="1"/>
    <n v="9"/>
    <n v="5000"/>
    <n v="45000"/>
    <x v="3"/>
  </r>
  <r>
    <x v="93"/>
    <x v="3"/>
    <x v="1"/>
    <x v="0"/>
    <n v="4"/>
    <n v="2100"/>
    <n v="8400"/>
    <x v="3"/>
  </r>
  <r>
    <x v="94"/>
    <x v="4"/>
    <x v="1"/>
    <x v="2"/>
    <n v="12"/>
    <n v="11000"/>
    <n v="132000"/>
    <x v="3"/>
  </r>
  <r>
    <x v="95"/>
    <x v="5"/>
    <x v="0"/>
    <x v="3"/>
    <n v="6"/>
    <n v="36000"/>
    <n v="216000"/>
    <x v="3"/>
  </r>
  <r>
    <x v="96"/>
    <x v="0"/>
    <x v="0"/>
    <x v="4"/>
    <n v="15"/>
    <n v="45000"/>
    <n v="675000"/>
    <x v="3"/>
  </r>
  <r>
    <x v="97"/>
    <x v="1"/>
    <x v="0"/>
    <x v="4"/>
    <n v="2"/>
    <n v="700"/>
    <n v="1400"/>
    <x v="3"/>
  </r>
  <r>
    <x v="98"/>
    <x v="2"/>
    <x v="1"/>
    <x v="3"/>
    <n v="8"/>
    <n v="5000"/>
    <n v="40000"/>
    <x v="3"/>
  </r>
  <r>
    <x v="99"/>
    <x v="3"/>
    <x v="1"/>
    <x v="0"/>
    <n v="8"/>
    <n v="2100"/>
    <n v="16800"/>
    <x v="3"/>
  </r>
  <r>
    <x v="100"/>
    <x v="4"/>
    <x v="1"/>
    <x v="1"/>
    <n v="7"/>
    <n v="11000"/>
    <n v="77000"/>
    <x v="3"/>
  </r>
  <r>
    <x v="101"/>
    <x v="5"/>
    <x v="0"/>
    <x v="0"/>
    <n v="8"/>
    <n v="36000"/>
    <n v="288000"/>
    <x v="3"/>
  </r>
  <r>
    <x v="102"/>
    <x v="0"/>
    <x v="0"/>
    <x v="1"/>
    <n v="14"/>
    <n v="45000"/>
    <n v="630000"/>
    <x v="3"/>
  </r>
  <r>
    <x v="103"/>
    <x v="1"/>
    <x v="0"/>
    <x v="1"/>
    <n v="3"/>
    <n v="700"/>
    <n v="2100"/>
    <x v="3"/>
  </r>
  <r>
    <x v="104"/>
    <x v="2"/>
    <x v="1"/>
    <x v="0"/>
    <n v="11"/>
    <n v="5000"/>
    <n v="55000"/>
    <x v="3"/>
  </r>
  <r>
    <x v="105"/>
    <x v="3"/>
    <x v="1"/>
    <x v="2"/>
    <n v="2"/>
    <n v="2100"/>
    <n v="4200"/>
    <x v="3"/>
  </r>
  <r>
    <x v="106"/>
    <x v="4"/>
    <x v="1"/>
    <x v="3"/>
    <n v="2"/>
    <n v="11000"/>
    <n v="22000"/>
    <x v="3"/>
  </r>
  <r>
    <x v="107"/>
    <x v="5"/>
    <x v="0"/>
    <x v="4"/>
    <n v="1"/>
    <n v="36000"/>
    <n v="36000"/>
    <x v="3"/>
  </r>
  <r>
    <x v="108"/>
    <x v="0"/>
    <x v="0"/>
    <x v="4"/>
    <n v="15"/>
    <n v="45000"/>
    <n v="675000"/>
    <x v="3"/>
  </r>
  <r>
    <x v="109"/>
    <x v="1"/>
    <x v="0"/>
    <x v="3"/>
    <n v="14"/>
    <n v="700"/>
    <n v="9800"/>
    <x v="3"/>
  </r>
  <r>
    <x v="110"/>
    <x v="2"/>
    <x v="1"/>
    <x v="0"/>
    <n v="9"/>
    <n v="5000"/>
    <n v="45000"/>
    <x v="3"/>
  </r>
  <r>
    <x v="111"/>
    <x v="3"/>
    <x v="1"/>
    <x v="1"/>
    <n v="15"/>
    <n v="2100"/>
    <n v="31500"/>
    <x v="3"/>
  </r>
  <r>
    <x v="112"/>
    <x v="4"/>
    <x v="1"/>
    <x v="0"/>
    <n v="8"/>
    <n v="11000"/>
    <n v="88000"/>
    <x v="3"/>
  </r>
  <r>
    <x v="113"/>
    <x v="5"/>
    <x v="0"/>
    <x v="1"/>
    <n v="13"/>
    <n v="36000"/>
    <n v="468000"/>
    <x v="3"/>
  </r>
  <r>
    <x v="114"/>
    <x v="0"/>
    <x v="0"/>
    <x v="1"/>
    <n v="14"/>
    <n v="45000"/>
    <n v="630000"/>
    <x v="3"/>
  </r>
  <r>
    <x v="115"/>
    <x v="1"/>
    <x v="0"/>
    <x v="0"/>
    <n v="5"/>
    <n v="700"/>
    <n v="3500"/>
    <x v="3"/>
  </r>
  <r>
    <x v="116"/>
    <x v="2"/>
    <x v="1"/>
    <x v="2"/>
    <n v="4"/>
    <n v="5000"/>
    <n v="20000"/>
    <x v="3"/>
  </r>
  <r>
    <x v="117"/>
    <x v="3"/>
    <x v="1"/>
    <x v="3"/>
    <n v="4"/>
    <n v="2100"/>
    <n v="8400"/>
    <x v="3"/>
  </r>
  <r>
    <x v="118"/>
    <x v="4"/>
    <x v="1"/>
    <x v="4"/>
    <n v="2"/>
    <n v="11000"/>
    <n v="22000"/>
    <x v="3"/>
  </r>
  <r>
    <x v="119"/>
    <x v="5"/>
    <x v="0"/>
    <x v="4"/>
    <n v="10"/>
    <n v="36000"/>
    <n v="360000"/>
    <x v="3"/>
  </r>
  <r>
    <x v="120"/>
    <x v="0"/>
    <x v="0"/>
    <x v="3"/>
    <n v="11"/>
    <n v="45000"/>
    <n v="495000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Таблица4" cacheId="0" applyNumberFormats="0" applyBorderFormats="0" applyFontFormats="0" applyPatternFormats="0" applyAlignmentFormats="0" applyWidthHeightFormats="1" dataCaption="Значения" updatedVersion="5" minRefreshableVersion="3" useAutoFormatting="1" itemPrintTitles="1" createdVersion="5" indent="0" outline="1" outlineData="1" multipleFieldFilters="0" chartFormat="4" rowHeaderCaption="Категория">
  <location ref="A2:B5" firstHeaderRow="1" firstDataRow="1" firstDataCol="1"/>
  <pivotFields count="8">
    <pivotField numFmtId="14" showAll="0"/>
    <pivotField showAll="0"/>
    <pivotField axis="axisRow" showAll="0">
      <items count="3">
        <item x="1"/>
        <item x="0"/>
        <item t="default"/>
      </items>
    </pivotField>
    <pivotField showAll="0">
      <items count="6">
        <item x="2"/>
        <item x="4"/>
        <item x="0"/>
        <item x="1"/>
        <item x="3"/>
        <item t="default"/>
      </items>
    </pivotField>
    <pivotField showAll="0"/>
    <pivotField showAll="0"/>
    <pivotField dataField="1" showAll="0"/>
    <pivotField showAll="0">
      <items count="6">
        <item x="0"/>
        <item h="1" x="1"/>
        <item h="1" x="2"/>
        <item h="1" x="3"/>
        <item h="1" x="4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Сумма Выручки" fld="6" baseField="0" baseItem="0"/>
  </dataFields>
  <formats count="12">
    <format dxfId="71">
      <pivotArea type="all" dataOnly="0" outline="0" fieldPosition="0"/>
    </format>
    <format dxfId="70">
      <pivotArea outline="0" collapsedLevelsAreSubtotals="1" fieldPosition="0"/>
    </format>
    <format dxfId="69">
      <pivotArea field="2" type="button" dataOnly="0" labelOnly="1" outline="0" axis="axisRow" fieldPosition="0"/>
    </format>
    <format dxfId="68">
      <pivotArea dataOnly="0" labelOnly="1" outline="0" axis="axisValues" fieldPosition="0"/>
    </format>
    <format dxfId="67">
      <pivotArea dataOnly="0" labelOnly="1" fieldPosition="0">
        <references count="1">
          <reference field="2" count="0"/>
        </references>
      </pivotArea>
    </format>
    <format dxfId="66">
      <pivotArea dataOnly="0" labelOnly="1" grandRow="1" outline="0" fieldPosition="0"/>
    </format>
    <format dxfId="65">
      <pivotArea type="all" dataOnly="0" outline="0" fieldPosition="0"/>
    </format>
    <format dxfId="64">
      <pivotArea outline="0" collapsedLevelsAreSubtotals="1" fieldPosition="0"/>
    </format>
    <format dxfId="63">
      <pivotArea field="2" type="button" dataOnly="0" labelOnly="1" outline="0" axis="axisRow" fieldPosition="0"/>
    </format>
    <format dxfId="62">
      <pivotArea dataOnly="0" labelOnly="1" outline="0" axis="axisValues" fieldPosition="0"/>
    </format>
    <format dxfId="61">
      <pivotArea dataOnly="0" labelOnly="1" fieldPosition="0">
        <references count="1">
          <reference field="2" count="0"/>
        </references>
      </pivotArea>
    </format>
    <format dxfId="60">
      <pivotArea dataOnly="0" labelOnly="1" grandRow="1" outline="0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СводнаяТаблица6" cacheId="0" applyNumberFormats="0" applyBorderFormats="0" applyFontFormats="0" applyPatternFormats="0" applyAlignmentFormats="0" applyWidthHeightFormats="1" dataCaption="Значения" updatedVersion="5" minRefreshableVersion="3" useAutoFormatting="1" itemPrintTitles="1" createdVersion="5" indent="0" outline="1" outlineData="1" multipleFieldFilters="0" chartFormat="4" rowHeaderCaption="Товар">
  <location ref="A17:B24" firstHeaderRow="1" firstDataRow="1" firstDataCol="1"/>
  <pivotFields count="8">
    <pivotField numFmtId="14" showAll="0"/>
    <pivotField axis="axisRow" showAll="0" sortType="descending">
      <items count="7">
        <item x="1"/>
        <item x="0"/>
        <item x="2"/>
        <item x="3"/>
        <item x="5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7">
    <i>
      <x v="1"/>
    </i>
    <i>
      <x v="4"/>
    </i>
    <i>
      <x v="5"/>
    </i>
    <i>
      <x v="2"/>
    </i>
    <i>
      <x v="3"/>
    </i>
    <i>
      <x/>
    </i>
    <i t="grand">
      <x/>
    </i>
  </rowItems>
  <colItems count="1">
    <i/>
  </colItems>
  <dataFields count="1">
    <dataField name="Сумма Выручки" fld="6" baseField="0" baseItem="0"/>
  </dataFields>
  <formats count="6">
    <format dxfId="77">
      <pivotArea type="all" dataOnly="0" outline="0" fieldPosition="0"/>
    </format>
    <format dxfId="76">
      <pivotArea outline="0" collapsedLevelsAreSubtotals="1" fieldPosition="0"/>
    </format>
    <format dxfId="75">
      <pivotArea field="1" type="button" dataOnly="0" labelOnly="1" outline="0" axis="axisRow" fieldPosition="0"/>
    </format>
    <format dxfId="74">
      <pivotArea dataOnly="0" labelOnly="1" outline="0" axis="axisValues" fieldPosition="0"/>
    </format>
    <format dxfId="73">
      <pivotArea dataOnly="0" labelOnly="1" fieldPosition="0">
        <references count="1">
          <reference field="1" count="0"/>
        </references>
      </pivotArea>
    </format>
    <format dxfId="72">
      <pivotArea dataOnly="0" labelOnly="1" grandRow="1" outline="0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СводнаяТаблица5" cacheId="0" applyNumberFormats="0" applyBorderFormats="0" applyFontFormats="0" applyPatternFormats="0" applyAlignmentFormats="0" applyWidthHeightFormats="1" dataCaption="Значения" updatedVersion="5" minRefreshableVersion="3" useAutoFormatting="1" itemPrintTitles="1" createdVersion="5" indent="0" outline="1" outlineData="1" multipleFieldFilters="0" chartFormat="7" rowHeaderCaption="Месяц">
  <location ref="A8:B14" firstHeaderRow="1" firstDataRow="1" firstDataCol="1"/>
  <pivotFields count="8">
    <pivotField numFmtId="14" showAll="0"/>
    <pivotField showAll="0"/>
    <pivotField showAll="0">
      <items count="3">
        <item x="1"/>
        <item x="0"/>
        <item t="default"/>
      </items>
    </pivotField>
    <pivotField showAll="0">
      <items count="6">
        <item x="2"/>
        <item x="4"/>
        <item x="0"/>
        <item x="1"/>
        <item x="3"/>
        <item t="default"/>
      </items>
    </pivotField>
    <pivotField showAll="0"/>
    <pivotField showAll="0"/>
    <pivotField dataField="1" showAll="0"/>
    <pivotField axis="axisRow" showAll="0">
      <items count="6">
        <item n="Январь" x="0"/>
        <item n="Февраль" x="1"/>
        <item n="Март" x="2"/>
        <item n="Апрель" x="3"/>
        <item n="Май" x="4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Сумма  Выручки" fld="6" baseField="0" baseItem="0"/>
  </dataFields>
  <formats count="6">
    <format dxfId="83">
      <pivotArea type="all" dataOnly="0" outline="0" fieldPosition="0"/>
    </format>
    <format dxfId="82">
      <pivotArea outline="0" collapsedLevelsAreSubtotals="1" fieldPosition="0"/>
    </format>
    <format dxfId="81">
      <pivotArea field="7" type="button" dataOnly="0" labelOnly="1" outline="0" axis="axisRow" fieldPosition="0"/>
    </format>
    <format dxfId="80">
      <pivotArea dataOnly="0" labelOnly="1" outline="0" axis="axisValues" fieldPosition="0"/>
    </format>
    <format dxfId="79">
      <pivotArea dataOnly="0" labelOnly="1" fieldPosition="0">
        <references count="1">
          <reference field="7" count="0"/>
        </references>
      </pivotArea>
    </format>
    <format dxfId="78">
      <pivotArea dataOnly="0" labelOnly="1" grandRow="1" outline="0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Категория" sourceName="Категория ">
  <pivotTables>
    <pivotTable tabId="2" name="СводнаяТаблица4"/>
  </pivotTables>
  <data>
    <tabular pivotCacheId="1">
      <items count="2"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Регион" sourceName="Регион ">
  <pivotTables>
    <pivotTable tabId="2" name="СводнаяТаблица4"/>
  </pivotTables>
  <data>
    <tabular pivotCacheId="1">
      <items count="5">
        <i x="2" s="1"/>
        <i x="4" s="1"/>
        <i x="0" s="1"/>
        <i x="1" s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Месяц" sourceName="Месяц ">
  <pivotTables>
    <pivotTable tabId="2" name="СводнаяТаблица4"/>
  </pivotTables>
  <data>
    <tabular pivotCacheId="1">
      <items count="5">
        <i x="0" s="1"/>
        <i x="1"/>
        <i x="2"/>
        <i x="3"/>
        <i x="4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Категория " cache="Срез_Категория" caption="Категория " rowHeight="241300"/>
  <slicer name="Регион " cache="Срез_Регион" caption="Регион " rowHeight="241300"/>
  <slicer name="Месяц " cache="Срез_Месяц" caption="Месяц " rowHeight="241300"/>
</slicers>
</file>

<file path=xl/tables/table1.xml><?xml version="1.0" encoding="utf-8"?>
<table xmlns="http://schemas.openxmlformats.org/spreadsheetml/2006/main" id="1" name="Данные" displayName="Данные" ref="A1:H122" totalsRowShown="0" headerRowDxfId="95" headerRowBorderDxfId="94" tableBorderDxfId="93" totalsRowBorderDxfId="92">
  <autoFilter ref="A1:H122"/>
  <tableColumns count="8">
    <tableColumn id="1" name="Дата" dataDxfId="91"/>
    <tableColumn id="2" name="Товар " dataDxfId="90"/>
    <tableColumn id="3" name="Категория " dataDxfId="89"/>
    <tableColumn id="4" name="Регион " dataDxfId="88"/>
    <tableColumn id="5" name="Количество" dataDxfId="87"/>
    <tableColumn id="6" name="Цена" dataDxfId="86">
      <calculatedColumnFormula>VLOOKUP(B2,$J$1:$K$6,2,FALSE)</calculatedColumnFormula>
    </tableColumn>
    <tableColumn id="7" name="Выручка" dataDxfId="85">
      <calculatedColumnFormula>SUM(E2*F2)</calculatedColumnFormula>
    </tableColumn>
    <tableColumn id="8" name="Месяц " dataDxfId="84">
      <calculatedColumnFormula>CHOOSE(MONTH(A2),"Январь","Февраль","Март","Апрель","Май","Июнь","Июль","Август","Сентябрь","Октябрь","Ноябрь","Декабрь")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2"/>
  <sheetViews>
    <sheetView tabSelected="1" workbookViewId="0">
      <selection activeCell="H21" sqref="H21"/>
    </sheetView>
  </sheetViews>
  <sheetFormatPr defaultRowHeight="15" x14ac:dyDescent="0.25"/>
  <cols>
    <col min="1" max="1" width="10.140625" bestFit="1" customWidth="1"/>
    <col min="2" max="2" width="13.42578125" bestFit="1" customWidth="1"/>
    <col min="3" max="3" width="12.85546875" bestFit="1" customWidth="1"/>
    <col min="4" max="4" width="16.5703125" bestFit="1" customWidth="1"/>
    <col min="5" max="5" width="13.7109375" customWidth="1"/>
    <col min="7" max="7" width="11" customWidth="1"/>
    <col min="8" max="8" width="12.140625" style="35" customWidth="1"/>
    <col min="10" max="10" width="13.42578125" bestFit="1" customWidth="1"/>
    <col min="13" max="13" width="10.28515625" bestFit="1" customWidth="1"/>
  </cols>
  <sheetData>
    <row r="1" spans="1:11" x14ac:dyDescent="0.2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9</v>
      </c>
      <c r="G1" s="10" t="s">
        <v>19</v>
      </c>
      <c r="H1" s="33" t="s">
        <v>20</v>
      </c>
      <c r="J1" s="1" t="s">
        <v>5</v>
      </c>
      <c r="K1" s="1">
        <v>45000</v>
      </c>
    </row>
    <row r="2" spans="1:11" x14ac:dyDescent="0.25">
      <c r="A2" s="2">
        <v>45658</v>
      </c>
      <c r="B2" s="1" t="s">
        <v>5</v>
      </c>
      <c r="C2" s="1" t="s">
        <v>12</v>
      </c>
      <c r="D2" s="1" t="s">
        <v>14</v>
      </c>
      <c r="E2" s="1">
        <v>15</v>
      </c>
      <c r="F2" s="1">
        <f>VLOOKUP(B2,$J$1:$K$6,2,FALSE)</f>
        <v>45000</v>
      </c>
      <c r="G2" s="3">
        <f>SUM(E2*F2)</f>
        <v>675000</v>
      </c>
      <c r="H2" s="34" t="str">
        <f t="shared" ref="H2:H33" si="0">CHOOSE(MONTH(A2),"Январь","Февраль","Март","Апрель","Май","Июнь","Июль","Август","Сентябрь","Октябрь","Ноябрь","Декабрь")</f>
        <v>Январь</v>
      </c>
      <c r="J2" s="1" t="s">
        <v>6</v>
      </c>
      <c r="K2" s="1">
        <v>700</v>
      </c>
    </row>
    <row r="3" spans="1:11" x14ac:dyDescent="0.25">
      <c r="A3" s="2">
        <v>45659</v>
      </c>
      <c r="B3" s="1" t="s">
        <v>6</v>
      </c>
      <c r="C3" s="1" t="s">
        <v>12</v>
      </c>
      <c r="D3" s="1" t="s">
        <v>15</v>
      </c>
      <c r="E3" s="1">
        <v>13</v>
      </c>
      <c r="F3" s="1">
        <f t="shared" ref="F3:F66" si="1">VLOOKUP(B3,$J$1:$K$6,2,FALSE)</f>
        <v>700</v>
      </c>
      <c r="G3" s="3">
        <f t="shared" ref="G3:G66" si="2">SUM(E3*F3)</f>
        <v>9100</v>
      </c>
      <c r="H3" s="34" t="str">
        <f t="shared" si="0"/>
        <v>Январь</v>
      </c>
      <c r="J3" s="1" t="s">
        <v>7</v>
      </c>
      <c r="K3" s="1">
        <v>5000</v>
      </c>
    </row>
    <row r="4" spans="1:11" x14ac:dyDescent="0.25">
      <c r="A4" s="2">
        <v>45660</v>
      </c>
      <c r="B4" s="1" t="s">
        <v>7</v>
      </c>
      <c r="C4" s="1" t="s">
        <v>34</v>
      </c>
      <c r="D4" s="1" t="s">
        <v>14</v>
      </c>
      <c r="E4" s="1">
        <v>1</v>
      </c>
      <c r="F4" s="1">
        <f t="shared" si="1"/>
        <v>5000</v>
      </c>
      <c r="G4" s="3">
        <f t="shared" si="2"/>
        <v>5000</v>
      </c>
      <c r="H4" s="34" t="str">
        <f t="shared" si="0"/>
        <v>Январь</v>
      </c>
      <c r="J4" s="1" t="s">
        <v>8</v>
      </c>
      <c r="K4" s="1">
        <v>2100</v>
      </c>
    </row>
    <row r="5" spans="1:11" x14ac:dyDescent="0.25">
      <c r="A5" s="2">
        <v>45661</v>
      </c>
      <c r="B5" s="1" t="s">
        <v>8</v>
      </c>
      <c r="C5" s="1" t="s">
        <v>34</v>
      </c>
      <c r="D5" s="1" t="s">
        <v>15</v>
      </c>
      <c r="E5" s="1">
        <v>9</v>
      </c>
      <c r="F5" s="1">
        <f t="shared" si="1"/>
        <v>2100</v>
      </c>
      <c r="G5" s="3">
        <f t="shared" si="2"/>
        <v>18900</v>
      </c>
      <c r="H5" s="34" t="str">
        <f t="shared" si="0"/>
        <v>Январь</v>
      </c>
      <c r="J5" s="1" t="s">
        <v>10</v>
      </c>
      <c r="K5" s="1">
        <v>11000</v>
      </c>
    </row>
    <row r="6" spans="1:11" x14ac:dyDescent="0.25">
      <c r="A6" s="2">
        <v>45662</v>
      </c>
      <c r="B6" s="1" t="s">
        <v>10</v>
      </c>
      <c r="C6" s="1" t="s">
        <v>34</v>
      </c>
      <c r="D6" s="1" t="s">
        <v>15</v>
      </c>
      <c r="E6" s="1">
        <v>13</v>
      </c>
      <c r="F6" s="1">
        <f t="shared" si="1"/>
        <v>11000</v>
      </c>
      <c r="G6" s="3">
        <f t="shared" si="2"/>
        <v>143000</v>
      </c>
      <c r="H6" s="34" t="str">
        <f t="shared" si="0"/>
        <v>Январь</v>
      </c>
      <c r="J6" s="1" t="s">
        <v>11</v>
      </c>
      <c r="K6" s="1">
        <v>36000</v>
      </c>
    </row>
    <row r="7" spans="1:11" x14ac:dyDescent="0.25">
      <c r="A7" s="2">
        <v>45663</v>
      </c>
      <c r="B7" s="1" t="s">
        <v>11</v>
      </c>
      <c r="C7" s="1" t="s">
        <v>12</v>
      </c>
      <c r="D7" s="1" t="s">
        <v>14</v>
      </c>
      <c r="E7" s="1">
        <v>9</v>
      </c>
      <c r="F7" s="1">
        <f t="shared" si="1"/>
        <v>36000</v>
      </c>
      <c r="G7" s="3">
        <f t="shared" si="2"/>
        <v>324000</v>
      </c>
      <c r="H7" s="34" t="str">
        <f t="shared" si="0"/>
        <v>Январь</v>
      </c>
    </row>
    <row r="8" spans="1:11" x14ac:dyDescent="0.25">
      <c r="A8" s="2">
        <v>45664</v>
      </c>
      <c r="B8" s="1" t="s">
        <v>5</v>
      </c>
      <c r="C8" s="1" t="s">
        <v>12</v>
      </c>
      <c r="D8" s="1" t="s">
        <v>16</v>
      </c>
      <c r="E8" s="1">
        <v>13</v>
      </c>
      <c r="F8" s="1">
        <f t="shared" si="1"/>
        <v>45000</v>
      </c>
      <c r="G8" s="3">
        <f t="shared" si="2"/>
        <v>585000</v>
      </c>
      <c r="H8" s="34" t="str">
        <f t="shared" si="0"/>
        <v>Январь</v>
      </c>
    </row>
    <row r="9" spans="1:11" x14ac:dyDescent="0.25">
      <c r="A9" s="2">
        <v>45665</v>
      </c>
      <c r="B9" s="1" t="s">
        <v>6</v>
      </c>
      <c r="C9" s="1" t="s">
        <v>12</v>
      </c>
      <c r="D9" s="1" t="s">
        <v>17</v>
      </c>
      <c r="E9" s="1">
        <v>3</v>
      </c>
      <c r="F9" s="1">
        <f t="shared" si="1"/>
        <v>700</v>
      </c>
      <c r="G9" s="3">
        <f t="shared" si="2"/>
        <v>2100</v>
      </c>
      <c r="H9" s="34" t="str">
        <f t="shared" si="0"/>
        <v>Январь</v>
      </c>
    </row>
    <row r="10" spans="1:11" x14ac:dyDescent="0.25">
      <c r="A10" s="2">
        <v>45666</v>
      </c>
      <c r="B10" s="1" t="s">
        <v>7</v>
      </c>
      <c r="C10" s="1" t="s">
        <v>34</v>
      </c>
      <c r="D10" s="1" t="s">
        <v>18</v>
      </c>
      <c r="E10" s="1">
        <v>12</v>
      </c>
      <c r="F10" s="1">
        <f t="shared" si="1"/>
        <v>5000</v>
      </c>
      <c r="G10" s="3">
        <f t="shared" si="2"/>
        <v>60000</v>
      </c>
      <c r="H10" s="34" t="str">
        <f t="shared" si="0"/>
        <v>Январь</v>
      </c>
    </row>
    <row r="11" spans="1:11" x14ac:dyDescent="0.25">
      <c r="A11" s="2">
        <v>45667</v>
      </c>
      <c r="B11" s="1" t="s">
        <v>8</v>
      </c>
      <c r="C11" s="1" t="s">
        <v>34</v>
      </c>
      <c r="D11" s="1" t="s">
        <v>18</v>
      </c>
      <c r="E11" s="1">
        <v>11</v>
      </c>
      <c r="F11" s="1">
        <f t="shared" si="1"/>
        <v>2100</v>
      </c>
      <c r="G11" s="3">
        <f t="shared" si="2"/>
        <v>23100</v>
      </c>
      <c r="H11" s="34" t="str">
        <f t="shared" si="0"/>
        <v>Январь</v>
      </c>
    </row>
    <row r="12" spans="1:11" x14ac:dyDescent="0.25">
      <c r="A12" s="2">
        <v>45668</v>
      </c>
      <c r="B12" s="1" t="s">
        <v>10</v>
      </c>
      <c r="C12" s="1" t="s">
        <v>34</v>
      </c>
      <c r="D12" s="1" t="s">
        <v>17</v>
      </c>
      <c r="E12" s="1">
        <v>5</v>
      </c>
      <c r="F12" s="1">
        <f t="shared" si="1"/>
        <v>11000</v>
      </c>
      <c r="G12" s="3">
        <f t="shared" si="2"/>
        <v>55000</v>
      </c>
      <c r="H12" s="34" t="str">
        <f t="shared" si="0"/>
        <v>Январь</v>
      </c>
    </row>
    <row r="13" spans="1:11" x14ac:dyDescent="0.25">
      <c r="A13" s="2">
        <v>45669</v>
      </c>
      <c r="B13" s="1" t="s">
        <v>11</v>
      </c>
      <c r="C13" s="1" t="s">
        <v>12</v>
      </c>
      <c r="D13" s="1" t="s">
        <v>14</v>
      </c>
      <c r="E13" s="1">
        <v>12</v>
      </c>
      <c r="F13" s="1">
        <f t="shared" si="1"/>
        <v>36000</v>
      </c>
      <c r="G13" s="3">
        <f t="shared" si="2"/>
        <v>432000</v>
      </c>
      <c r="H13" s="34" t="str">
        <f t="shared" si="0"/>
        <v>Январь</v>
      </c>
    </row>
    <row r="14" spans="1:11" x14ac:dyDescent="0.25">
      <c r="A14" s="2">
        <v>45670</v>
      </c>
      <c r="B14" s="1" t="s">
        <v>5</v>
      </c>
      <c r="C14" s="1" t="s">
        <v>12</v>
      </c>
      <c r="D14" s="1" t="s">
        <v>15</v>
      </c>
      <c r="E14" s="1">
        <v>5</v>
      </c>
      <c r="F14" s="1">
        <f t="shared" si="1"/>
        <v>45000</v>
      </c>
      <c r="G14" s="3">
        <f t="shared" si="2"/>
        <v>225000</v>
      </c>
      <c r="H14" s="34" t="str">
        <f t="shared" si="0"/>
        <v>Январь</v>
      </c>
    </row>
    <row r="15" spans="1:11" x14ac:dyDescent="0.25">
      <c r="A15" s="2">
        <v>45671</v>
      </c>
      <c r="B15" s="1" t="s">
        <v>6</v>
      </c>
      <c r="C15" s="1" t="s">
        <v>12</v>
      </c>
      <c r="D15" s="1" t="s">
        <v>14</v>
      </c>
      <c r="E15" s="1">
        <v>9</v>
      </c>
      <c r="F15" s="1">
        <f t="shared" si="1"/>
        <v>700</v>
      </c>
      <c r="G15" s="3">
        <f t="shared" si="2"/>
        <v>6300</v>
      </c>
      <c r="H15" s="34" t="str">
        <f t="shared" si="0"/>
        <v>Январь</v>
      </c>
    </row>
    <row r="16" spans="1:11" x14ac:dyDescent="0.25">
      <c r="A16" s="2">
        <v>45672</v>
      </c>
      <c r="B16" s="1" t="s">
        <v>7</v>
      </c>
      <c r="C16" s="1" t="s">
        <v>34</v>
      </c>
      <c r="D16" s="1" t="s">
        <v>15</v>
      </c>
      <c r="E16" s="1">
        <v>15</v>
      </c>
      <c r="F16" s="1">
        <f t="shared" si="1"/>
        <v>5000</v>
      </c>
      <c r="G16" s="3">
        <f t="shared" si="2"/>
        <v>75000</v>
      </c>
      <c r="H16" s="34" t="str">
        <f t="shared" si="0"/>
        <v>Январь</v>
      </c>
    </row>
    <row r="17" spans="1:8" x14ac:dyDescent="0.25">
      <c r="A17" s="2">
        <v>45673</v>
      </c>
      <c r="B17" s="1" t="s">
        <v>8</v>
      </c>
      <c r="C17" s="1" t="s">
        <v>34</v>
      </c>
      <c r="D17" s="1" t="s">
        <v>15</v>
      </c>
      <c r="E17" s="1">
        <v>7</v>
      </c>
      <c r="F17" s="1">
        <f t="shared" si="1"/>
        <v>2100</v>
      </c>
      <c r="G17" s="3">
        <f t="shared" si="2"/>
        <v>14700</v>
      </c>
      <c r="H17" s="34" t="str">
        <f t="shared" si="0"/>
        <v>Январь</v>
      </c>
    </row>
    <row r="18" spans="1:8" x14ac:dyDescent="0.25">
      <c r="A18" s="2">
        <v>45674</v>
      </c>
      <c r="B18" s="1" t="s">
        <v>10</v>
      </c>
      <c r="C18" s="1" t="s">
        <v>34</v>
      </c>
      <c r="D18" s="1" t="s">
        <v>14</v>
      </c>
      <c r="E18" s="1">
        <v>12</v>
      </c>
      <c r="F18" s="1">
        <f t="shared" si="1"/>
        <v>11000</v>
      </c>
      <c r="G18" s="3">
        <f t="shared" si="2"/>
        <v>132000</v>
      </c>
      <c r="H18" s="34" t="str">
        <f t="shared" si="0"/>
        <v>Январь</v>
      </c>
    </row>
    <row r="19" spans="1:8" x14ac:dyDescent="0.25">
      <c r="A19" s="2">
        <v>45675</v>
      </c>
      <c r="B19" s="1" t="s">
        <v>11</v>
      </c>
      <c r="C19" s="1" t="s">
        <v>12</v>
      </c>
      <c r="D19" s="1" t="s">
        <v>16</v>
      </c>
      <c r="E19" s="1">
        <v>9</v>
      </c>
      <c r="F19" s="1">
        <f t="shared" si="1"/>
        <v>36000</v>
      </c>
      <c r="G19" s="3">
        <f t="shared" si="2"/>
        <v>324000</v>
      </c>
      <c r="H19" s="34" t="str">
        <f t="shared" si="0"/>
        <v>Январь</v>
      </c>
    </row>
    <row r="20" spans="1:8" x14ac:dyDescent="0.25">
      <c r="A20" s="2">
        <v>45676</v>
      </c>
      <c r="B20" s="1" t="s">
        <v>5</v>
      </c>
      <c r="C20" s="1" t="s">
        <v>12</v>
      </c>
      <c r="D20" s="1" t="s">
        <v>17</v>
      </c>
      <c r="E20" s="1">
        <v>14</v>
      </c>
      <c r="F20" s="1">
        <f t="shared" si="1"/>
        <v>45000</v>
      </c>
      <c r="G20" s="3">
        <f t="shared" si="2"/>
        <v>630000</v>
      </c>
      <c r="H20" s="34" t="str">
        <f t="shared" si="0"/>
        <v>Январь</v>
      </c>
    </row>
    <row r="21" spans="1:8" x14ac:dyDescent="0.25">
      <c r="A21" s="2">
        <v>45677</v>
      </c>
      <c r="B21" s="1" t="s">
        <v>6</v>
      </c>
      <c r="C21" s="1" t="s">
        <v>12</v>
      </c>
      <c r="D21" s="1" t="s">
        <v>18</v>
      </c>
      <c r="E21" s="1">
        <v>10</v>
      </c>
      <c r="F21" s="1">
        <f t="shared" si="1"/>
        <v>700</v>
      </c>
      <c r="G21" s="3">
        <f t="shared" si="2"/>
        <v>7000</v>
      </c>
      <c r="H21" s="34" t="str">
        <f t="shared" si="0"/>
        <v>Январь</v>
      </c>
    </row>
    <row r="22" spans="1:8" x14ac:dyDescent="0.25">
      <c r="A22" s="2">
        <v>45678</v>
      </c>
      <c r="B22" s="1" t="s">
        <v>7</v>
      </c>
      <c r="C22" s="1" t="s">
        <v>34</v>
      </c>
      <c r="D22" s="1" t="s">
        <v>18</v>
      </c>
      <c r="E22" s="1">
        <v>1</v>
      </c>
      <c r="F22" s="1">
        <f t="shared" si="1"/>
        <v>5000</v>
      </c>
      <c r="G22" s="3">
        <f t="shared" si="2"/>
        <v>5000</v>
      </c>
      <c r="H22" s="34" t="str">
        <f t="shared" si="0"/>
        <v>Январь</v>
      </c>
    </row>
    <row r="23" spans="1:8" x14ac:dyDescent="0.25">
      <c r="A23" s="2">
        <v>45679</v>
      </c>
      <c r="B23" s="1" t="s">
        <v>8</v>
      </c>
      <c r="C23" s="1" t="s">
        <v>34</v>
      </c>
      <c r="D23" s="1" t="s">
        <v>17</v>
      </c>
      <c r="E23" s="1">
        <v>2</v>
      </c>
      <c r="F23" s="1">
        <f t="shared" si="1"/>
        <v>2100</v>
      </c>
      <c r="G23" s="3">
        <f t="shared" si="2"/>
        <v>4200</v>
      </c>
      <c r="H23" s="34" t="str">
        <f t="shared" si="0"/>
        <v>Январь</v>
      </c>
    </row>
    <row r="24" spans="1:8" x14ac:dyDescent="0.25">
      <c r="A24" s="2">
        <v>45680</v>
      </c>
      <c r="B24" s="1" t="s">
        <v>10</v>
      </c>
      <c r="C24" s="1" t="s">
        <v>34</v>
      </c>
      <c r="D24" s="1" t="s">
        <v>14</v>
      </c>
      <c r="E24" s="1">
        <v>12</v>
      </c>
      <c r="F24" s="1">
        <f t="shared" si="1"/>
        <v>11000</v>
      </c>
      <c r="G24" s="3">
        <f t="shared" si="2"/>
        <v>132000</v>
      </c>
      <c r="H24" s="34" t="str">
        <f t="shared" si="0"/>
        <v>Январь</v>
      </c>
    </row>
    <row r="25" spans="1:8" x14ac:dyDescent="0.25">
      <c r="A25" s="2">
        <v>45681</v>
      </c>
      <c r="B25" s="1" t="s">
        <v>11</v>
      </c>
      <c r="C25" s="1" t="s">
        <v>12</v>
      </c>
      <c r="D25" s="1" t="s">
        <v>15</v>
      </c>
      <c r="E25" s="1">
        <v>6</v>
      </c>
      <c r="F25" s="1">
        <f t="shared" si="1"/>
        <v>36000</v>
      </c>
      <c r="G25" s="3">
        <f t="shared" si="2"/>
        <v>216000</v>
      </c>
      <c r="H25" s="34" t="str">
        <f t="shared" si="0"/>
        <v>Январь</v>
      </c>
    </row>
    <row r="26" spans="1:8" x14ac:dyDescent="0.25">
      <c r="A26" s="2">
        <v>45682</v>
      </c>
      <c r="B26" s="1" t="s">
        <v>5</v>
      </c>
      <c r="C26" s="1" t="s">
        <v>12</v>
      </c>
      <c r="D26" s="1" t="s">
        <v>14</v>
      </c>
      <c r="E26" s="1">
        <v>14</v>
      </c>
      <c r="F26" s="1">
        <f t="shared" si="1"/>
        <v>45000</v>
      </c>
      <c r="G26" s="3">
        <f t="shared" si="2"/>
        <v>630000</v>
      </c>
      <c r="H26" s="34" t="str">
        <f t="shared" si="0"/>
        <v>Январь</v>
      </c>
    </row>
    <row r="27" spans="1:8" x14ac:dyDescent="0.25">
      <c r="A27" s="2">
        <v>45683</v>
      </c>
      <c r="B27" s="1" t="s">
        <v>6</v>
      </c>
      <c r="C27" s="1" t="s">
        <v>12</v>
      </c>
      <c r="D27" s="1" t="s">
        <v>15</v>
      </c>
      <c r="E27" s="1">
        <v>12</v>
      </c>
      <c r="F27" s="1">
        <f t="shared" si="1"/>
        <v>700</v>
      </c>
      <c r="G27" s="3">
        <f t="shared" si="2"/>
        <v>8400</v>
      </c>
      <c r="H27" s="34" t="str">
        <f t="shared" si="0"/>
        <v>Январь</v>
      </c>
    </row>
    <row r="28" spans="1:8" x14ac:dyDescent="0.25">
      <c r="A28" s="2">
        <v>45684</v>
      </c>
      <c r="B28" s="1" t="s">
        <v>7</v>
      </c>
      <c r="C28" s="1" t="s">
        <v>34</v>
      </c>
      <c r="D28" s="1" t="s">
        <v>15</v>
      </c>
      <c r="E28" s="1">
        <v>9</v>
      </c>
      <c r="F28" s="1">
        <f t="shared" si="1"/>
        <v>5000</v>
      </c>
      <c r="G28" s="3">
        <f t="shared" si="2"/>
        <v>45000</v>
      </c>
      <c r="H28" s="34" t="str">
        <f t="shared" si="0"/>
        <v>Январь</v>
      </c>
    </row>
    <row r="29" spans="1:8" x14ac:dyDescent="0.25">
      <c r="A29" s="2">
        <v>45685</v>
      </c>
      <c r="B29" s="1" t="s">
        <v>8</v>
      </c>
      <c r="C29" s="1" t="s">
        <v>34</v>
      </c>
      <c r="D29" s="1" t="s">
        <v>14</v>
      </c>
      <c r="E29" s="1">
        <v>11</v>
      </c>
      <c r="F29" s="1">
        <f t="shared" si="1"/>
        <v>2100</v>
      </c>
      <c r="G29" s="3">
        <f t="shared" si="2"/>
        <v>23100</v>
      </c>
      <c r="H29" s="34" t="str">
        <f t="shared" si="0"/>
        <v>Январь</v>
      </c>
    </row>
    <row r="30" spans="1:8" x14ac:dyDescent="0.25">
      <c r="A30" s="2">
        <v>45686</v>
      </c>
      <c r="B30" s="1" t="s">
        <v>10</v>
      </c>
      <c r="C30" s="1" t="s">
        <v>34</v>
      </c>
      <c r="D30" s="1" t="s">
        <v>16</v>
      </c>
      <c r="E30" s="1">
        <v>9</v>
      </c>
      <c r="F30" s="1">
        <f t="shared" si="1"/>
        <v>11000</v>
      </c>
      <c r="G30" s="3">
        <f t="shared" si="2"/>
        <v>99000</v>
      </c>
      <c r="H30" s="34" t="str">
        <f t="shared" si="0"/>
        <v>Январь</v>
      </c>
    </row>
    <row r="31" spans="1:8" x14ac:dyDescent="0.25">
      <c r="A31" s="2">
        <v>45687</v>
      </c>
      <c r="B31" s="1" t="s">
        <v>11</v>
      </c>
      <c r="C31" s="1" t="s">
        <v>12</v>
      </c>
      <c r="D31" s="1" t="s">
        <v>17</v>
      </c>
      <c r="E31" s="1">
        <v>2</v>
      </c>
      <c r="F31" s="1">
        <f t="shared" si="1"/>
        <v>36000</v>
      </c>
      <c r="G31" s="3">
        <f t="shared" si="2"/>
        <v>72000</v>
      </c>
      <c r="H31" s="34" t="str">
        <f t="shared" si="0"/>
        <v>Январь</v>
      </c>
    </row>
    <row r="32" spans="1:8" x14ac:dyDescent="0.25">
      <c r="A32" s="2">
        <v>45688</v>
      </c>
      <c r="B32" s="1" t="s">
        <v>5</v>
      </c>
      <c r="C32" s="1" t="s">
        <v>12</v>
      </c>
      <c r="D32" s="1" t="s">
        <v>18</v>
      </c>
      <c r="E32" s="1">
        <v>12</v>
      </c>
      <c r="F32" s="1">
        <f t="shared" si="1"/>
        <v>45000</v>
      </c>
      <c r="G32" s="3">
        <f t="shared" si="2"/>
        <v>540000</v>
      </c>
      <c r="H32" s="34" t="str">
        <f t="shared" si="0"/>
        <v>Январь</v>
      </c>
    </row>
    <row r="33" spans="1:8" x14ac:dyDescent="0.25">
      <c r="A33" s="2">
        <v>45689</v>
      </c>
      <c r="B33" s="1" t="s">
        <v>6</v>
      </c>
      <c r="C33" s="1" t="s">
        <v>12</v>
      </c>
      <c r="D33" s="1" t="s">
        <v>18</v>
      </c>
      <c r="E33" s="1">
        <v>12</v>
      </c>
      <c r="F33" s="1">
        <f t="shared" si="1"/>
        <v>700</v>
      </c>
      <c r="G33" s="3">
        <f t="shared" si="2"/>
        <v>8400</v>
      </c>
      <c r="H33" s="34" t="str">
        <f t="shared" si="0"/>
        <v>Февраль</v>
      </c>
    </row>
    <row r="34" spans="1:8" x14ac:dyDescent="0.25">
      <c r="A34" s="2">
        <v>45690</v>
      </c>
      <c r="B34" s="1" t="s">
        <v>7</v>
      </c>
      <c r="C34" s="1" t="s">
        <v>34</v>
      </c>
      <c r="D34" s="1" t="s">
        <v>17</v>
      </c>
      <c r="E34" s="1">
        <v>4</v>
      </c>
      <c r="F34" s="1">
        <f t="shared" si="1"/>
        <v>5000</v>
      </c>
      <c r="G34" s="3">
        <f t="shared" si="2"/>
        <v>20000</v>
      </c>
      <c r="H34" s="34" t="str">
        <f t="shared" ref="H34:H65" si="3">CHOOSE(MONTH(A34),"Январь","Февраль","Март","Апрель","Май","Июнь","Июль","Август","Сентябрь","Октябрь","Ноябрь","Декабрь")</f>
        <v>Февраль</v>
      </c>
    </row>
    <row r="35" spans="1:8" x14ac:dyDescent="0.25">
      <c r="A35" s="2">
        <v>45691</v>
      </c>
      <c r="B35" s="1" t="s">
        <v>8</v>
      </c>
      <c r="C35" s="1" t="s">
        <v>34</v>
      </c>
      <c r="D35" s="1" t="s">
        <v>14</v>
      </c>
      <c r="E35" s="1">
        <v>13</v>
      </c>
      <c r="F35" s="1">
        <f t="shared" si="1"/>
        <v>2100</v>
      </c>
      <c r="G35" s="3">
        <f t="shared" si="2"/>
        <v>27300</v>
      </c>
      <c r="H35" s="34" t="str">
        <f t="shared" si="3"/>
        <v>Февраль</v>
      </c>
    </row>
    <row r="36" spans="1:8" x14ac:dyDescent="0.25">
      <c r="A36" s="2">
        <v>45692</v>
      </c>
      <c r="B36" s="1" t="s">
        <v>10</v>
      </c>
      <c r="C36" s="1" t="s">
        <v>34</v>
      </c>
      <c r="D36" s="1" t="s">
        <v>15</v>
      </c>
      <c r="E36" s="1">
        <v>14</v>
      </c>
      <c r="F36" s="1">
        <f t="shared" si="1"/>
        <v>11000</v>
      </c>
      <c r="G36" s="3">
        <f t="shared" si="2"/>
        <v>154000</v>
      </c>
      <c r="H36" s="34" t="str">
        <f t="shared" si="3"/>
        <v>Февраль</v>
      </c>
    </row>
    <row r="37" spans="1:8" x14ac:dyDescent="0.25">
      <c r="A37" s="2">
        <v>45693</v>
      </c>
      <c r="B37" s="1" t="s">
        <v>11</v>
      </c>
      <c r="C37" s="1" t="s">
        <v>12</v>
      </c>
      <c r="D37" s="1" t="s">
        <v>14</v>
      </c>
      <c r="E37" s="1">
        <v>4</v>
      </c>
      <c r="F37" s="1">
        <f t="shared" si="1"/>
        <v>36000</v>
      </c>
      <c r="G37" s="3">
        <f t="shared" si="2"/>
        <v>144000</v>
      </c>
      <c r="H37" s="34" t="str">
        <f t="shared" si="3"/>
        <v>Февраль</v>
      </c>
    </row>
    <row r="38" spans="1:8" x14ac:dyDescent="0.25">
      <c r="A38" s="2">
        <v>45694</v>
      </c>
      <c r="B38" s="1" t="s">
        <v>5</v>
      </c>
      <c r="C38" s="1" t="s">
        <v>12</v>
      </c>
      <c r="D38" s="1" t="s">
        <v>15</v>
      </c>
      <c r="E38" s="1">
        <v>6</v>
      </c>
      <c r="F38" s="1">
        <f t="shared" si="1"/>
        <v>45000</v>
      </c>
      <c r="G38" s="3">
        <f t="shared" si="2"/>
        <v>270000</v>
      </c>
      <c r="H38" s="34" t="str">
        <f t="shared" si="3"/>
        <v>Февраль</v>
      </c>
    </row>
    <row r="39" spans="1:8" x14ac:dyDescent="0.25">
      <c r="A39" s="2">
        <v>45695</v>
      </c>
      <c r="B39" s="1" t="s">
        <v>6</v>
      </c>
      <c r="C39" s="1" t="s">
        <v>12</v>
      </c>
      <c r="D39" s="1" t="s">
        <v>15</v>
      </c>
      <c r="E39" s="1">
        <v>9</v>
      </c>
      <c r="F39" s="1">
        <f t="shared" si="1"/>
        <v>700</v>
      </c>
      <c r="G39" s="3">
        <f t="shared" si="2"/>
        <v>6300</v>
      </c>
      <c r="H39" s="34" t="str">
        <f t="shared" si="3"/>
        <v>Февраль</v>
      </c>
    </row>
    <row r="40" spans="1:8" x14ac:dyDescent="0.25">
      <c r="A40" s="2">
        <v>45696</v>
      </c>
      <c r="B40" s="1" t="s">
        <v>7</v>
      </c>
      <c r="C40" s="1" t="s">
        <v>34</v>
      </c>
      <c r="D40" s="1" t="s">
        <v>14</v>
      </c>
      <c r="E40" s="1">
        <v>7</v>
      </c>
      <c r="F40" s="1">
        <f t="shared" si="1"/>
        <v>5000</v>
      </c>
      <c r="G40" s="3">
        <f t="shared" si="2"/>
        <v>35000</v>
      </c>
      <c r="H40" s="34" t="str">
        <f t="shared" si="3"/>
        <v>Февраль</v>
      </c>
    </row>
    <row r="41" spans="1:8" x14ac:dyDescent="0.25">
      <c r="A41" s="2">
        <v>45697</v>
      </c>
      <c r="B41" s="1" t="s">
        <v>8</v>
      </c>
      <c r="C41" s="1" t="s">
        <v>34</v>
      </c>
      <c r="D41" s="1" t="s">
        <v>16</v>
      </c>
      <c r="E41" s="1">
        <v>7</v>
      </c>
      <c r="F41" s="1">
        <f t="shared" si="1"/>
        <v>2100</v>
      </c>
      <c r="G41" s="3">
        <f t="shared" si="2"/>
        <v>14700</v>
      </c>
      <c r="H41" s="34" t="str">
        <f t="shared" si="3"/>
        <v>Февраль</v>
      </c>
    </row>
    <row r="42" spans="1:8" x14ac:dyDescent="0.25">
      <c r="A42" s="2">
        <v>45698</v>
      </c>
      <c r="B42" s="1" t="s">
        <v>10</v>
      </c>
      <c r="C42" s="1" t="s">
        <v>34</v>
      </c>
      <c r="D42" s="1" t="s">
        <v>17</v>
      </c>
      <c r="E42" s="1">
        <v>9</v>
      </c>
      <c r="F42" s="1">
        <f t="shared" si="1"/>
        <v>11000</v>
      </c>
      <c r="G42" s="3">
        <f t="shared" si="2"/>
        <v>99000</v>
      </c>
      <c r="H42" s="34" t="str">
        <f t="shared" si="3"/>
        <v>Февраль</v>
      </c>
    </row>
    <row r="43" spans="1:8" x14ac:dyDescent="0.25">
      <c r="A43" s="2">
        <v>45699</v>
      </c>
      <c r="B43" s="1" t="s">
        <v>11</v>
      </c>
      <c r="C43" s="1" t="s">
        <v>12</v>
      </c>
      <c r="D43" s="1" t="s">
        <v>18</v>
      </c>
      <c r="E43" s="1">
        <v>6</v>
      </c>
      <c r="F43" s="1">
        <f t="shared" si="1"/>
        <v>36000</v>
      </c>
      <c r="G43" s="3">
        <f t="shared" si="2"/>
        <v>216000</v>
      </c>
      <c r="H43" s="34" t="str">
        <f t="shared" si="3"/>
        <v>Февраль</v>
      </c>
    </row>
    <row r="44" spans="1:8" x14ac:dyDescent="0.25">
      <c r="A44" s="2">
        <v>45700</v>
      </c>
      <c r="B44" s="1" t="s">
        <v>5</v>
      </c>
      <c r="C44" s="1" t="s">
        <v>12</v>
      </c>
      <c r="D44" s="1" t="s">
        <v>18</v>
      </c>
      <c r="E44" s="1">
        <v>15</v>
      </c>
      <c r="F44" s="1">
        <f t="shared" si="1"/>
        <v>45000</v>
      </c>
      <c r="G44" s="3">
        <f t="shared" si="2"/>
        <v>675000</v>
      </c>
      <c r="H44" s="34" t="str">
        <f t="shared" si="3"/>
        <v>Февраль</v>
      </c>
    </row>
    <row r="45" spans="1:8" x14ac:dyDescent="0.25">
      <c r="A45" s="2">
        <v>45701</v>
      </c>
      <c r="B45" s="1" t="s">
        <v>6</v>
      </c>
      <c r="C45" s="1" t="s">
        <v>12</v>
      </c>
      <c r="D45" s="1" t="s">
        <v>17</v>
      </c>
      <c r="E45" s="1">
        <v>15</v>
      </c>
      <c r="F45" s="1">
        <f t="shared" si="1"/>
        <v>700</v>
      </c>
      <c r="G45" s="3">
        <f t="shared" si="2"/>
        <v>10500</v>
      </c>
      <c r="H45" s="34" t="str">
        <f t="shared" si="3"/>
        <v>Февраль</v>
      </c>
    </row>
    <row r="46" spans="1:8" x14ac:dyDescent="0.25">
      <c r="A46" s="2">
        <v>45702</v>
      </c>
      <c r="B46" s="1" t="s">
        <v>7</v>
      </c>
      <c r="C46" s="1" t="s">
        <v>34</v>
      </c>
      <c r="D46" s="1" t="s">
        <v>14</v>
      </c>
      <c r="E46" s="1">
        <v>14</v>
      </c>
      <c r="F46" s="1">
        <f t="shared" si="1"/>
        <v>5000</v>
      </c>
      <c r="G46" s="3">
        <f t="shared" si="2"/>
        <v>70000</v>
      </c>
      <c r="H46" s="34" t="str">
        <f t="shared" si="3"/>
        <v>Февраль</v>
      </c>
    </row>
    <row r="47" spans="1:8" x14ac:dyDescent="0.25">
      <c r="A47" s="2">
        <v>45703</v>
      </c>
      <c r="B47" s="1" t="s">
        <v>8</v>
      </c>
      <c r="C47" s="1" t="s">
        <v>34</v>
      </c>
      <c r="D47" s="1" t="s">
        <v>15</v>
      </c>
      <c r="E47" s="1">
        <v>8</v>
      </c>
      <c r="F47" s="1">
        <f t="shared" si="1"/>
        <v>2100</v>
      </c>
      <c r="G47" s="3">
        <f t="shared" si="2"/>
        <v>16800</v>
      </c>
      <c r="H47" s="34" t="str">
        <f t="shared" si="3"/>
        <v>Февраль</v>
      </c>
    </row>
    <row r="48" spans="1:8" x14ac:dyDescent="0.25">
      <c r="A48" s="2">
        <v>45704</v>
      </c>
      <c r="B48" s="1" t="s">
        <v>10</v>
      </c>
      <c r="C48" s="1" t="s">
        <v>34</v>
      </c>
      <c r="D48" s="1" t="s">
        <v>14</v>
      </c>
      <c r="E48" s="1">
        <v>4</v>
      </c>
      <c r="F48" s="1">
        <f t="shared" si="1"/>
        <v>11000</v>
      </c>
      <c r="G48" s="3">
        <f t="shared" si="2"/>
        <v>44000</v>
      </c>
      <c r="H48" s="34" t="str">
        <f t="shared" si="3"/>
        <v>Февраль</v>
      </c>
    </row>
    <row r="49" spans="1:8" x14ac:dyDescent="0.25">
      <c r="A49" s="2">
        <v>45705</v>
      </c>
      <c r="B49" s="1" t="s">
        <v>11</v>
      </c>
      <c r="C49" s="1" t="s">
        <v>12</v>
      </c>
      <c r="D49" s="1" t="s">
        <v>15</v>
      </c>
      <c r="E49" s="1">
        <v>6</v>
      </c>
      <c r="F49" s="1">
        <f t="shared" si="1"/>
        <v>36000</v>
      </c>
      <c r="G49" s="3">
        <f t="shared" si="2"/>
        <v>216000</v>
      </c>
      <c r="H49" s="34" t="str">
        <f t="shared" si="3"/>
        <v>Февраль</v>
      </c>
    </row>
    <row r="50" spans="1:8" x14ac:dyDescent="0.25">
      <c r="A50" s="2">
        <v>45706</v>
      </c>
      <c r="B50" s="1" t="s">
        <v>5</v>
      </c>
      <c r="C50" s="1" t="s">
        <v>12</v>
      </c>
      <c r="D50" s="1" t="s">
        <v>15</v>
      </c>
      <c r="E50" s="1">
        <v>11</v>
      </c>
      <c r="F50" s="1">
        <f t="shared" si="1"/>
        <v>45000</v>
      </c>
      <c r="G50" s="3">
        <f t="shared" si="2"/>
        <v>495000</v>
      </c>
      <c r="H50" s="34" t="str">
        <f t="shared" si="3"/>
        <v>Февраль</v>
      </c>
    </row>
    <row r="51" spans="1:8" x14ac:dyDescent="0.25">
      <c r="A51" s="2">
        <v>45707</v>
      </c>
      <c r="B51" s="1" t="s">
        <v>6</v>
      </c>
      <c r="C51" s="1" t="s">
        <v>12</v>
      </c>
      <c r="D51" s="1" t="s">
        <v>14</v>
      </c>
      <c r="E51" s="1">
        <v>8</v>
      </c>
      <c r="F51" s="1">
        <f t="shared" si="1"/>
        <v>700</v>
      </c>
      <c r="G51" s="3">
        <f t="shared" si="2"/>
        <v>5600</v>
      </c>
      <c r="H51" s="34" t="str">
        <f t="shared" si="3"/>
        <v>Февраль</v>
      </c>
    </row>
    <row r="52" spans="1:8" x14ac:dyDescent="0.25">
      <c r="A52" s="2">
        <v>45708</v>
      </c>
      <c r="B52" s="1" t="s">
        <v>7</v>
      </c>
      <c r="C52" s="1" t="s">
        <v>34</v>
      </c>
      <c r="D52" s="1" t="s">
        <v>16</v>
      </c>
      <c r="E52" s="1">
        <v>3</v>
      </c>
      <c r="F52" s="1">
        <f t="shared" si="1"/>
        <v>5000</v>
      </c>
      <c r="G52" s="3">
        <f t="shared" si="2"/>
        <v>15000</v>
      </c>
      <c r="H52" s="34" t="str">
        <f t="shared" si="3"/>
        <v>Февраль</v>
      </c>
    </row>
    <row r="53" spans="1:8" x14ac:dyDescent="0.25">
      <c r="A53" s="2">
        <v>45709</v>
      </c>
      <c r="B53" s="1" t="s">
        <v>8</v>
      </c>
      <c r="C53" s="1" t="s">
        <v>34</v>
      </c>
      <c r="D53" s="1" t="s">
        <v>17</v>
      </c>
      <c r="E53" s="1">
        <v>2</v>
      </c>
      <c r="F53" s="1">
        <f t="shared" si="1"/>
        <v>2100</v>
      </c>
      <c r="G53" s="3">
        <f t="shared" si="2"/>
        <v>4200</v>
      </c>
      <c r="H53" s="34" t="str">
        <f t="shared" si="3"/>
        <v>Февраль</v>
      </c>
    </row>
    <row r="54" spans="1:8" x14ac:dyDescent="0.25">
      <c r="A54" s="2">
        <v>45710</v>
      </c>
      <c r="B54" s="1" t="s">
        <v>10</v>
      </c>
      <c r="C54" s="1" t="s">
        <v>34</v>
      </c>
      <c r="D54" s="1" t="s">
        <v>18</v>
      </c>
      <c r="E54" s="1">
        <v>15</v>
      </c>
      <c r="F54" s="1">
        <f t="shared" si="1"/>
        <v>11000</v>
      </c>
      <c r="G54" s="3">
        <f t="shared" si="2"/>
        <v>165000</v>
      </c>
      <c r="H54" s="34" t="str">
        <f t="shared" si="3"/>
        <v>Февраль</v>
      </c>
    </row>
    <row r="55" spans="1:8" x14ac:dyDescent="0.25">
      <c r="A55" s="2">
        <v>45711</v>
      </c>
      <c r="B55" s="1" t="s">
        <v>11</v>
      </c>
      <c r="C55" s="1" t="s">
        <v>12</v>
      </c>
      <c r="D55" s="1" t="s">
        <v>18</v>
      </c>
      <c r="E55" s="1">
        <v>12</v>
      </c>
      <c r="F55" s="1">
        <f t="shared" si="1"/>
        <v>36000</v>
      </c>
      <c r="G55" s="3">
        <f t="shared" si="2"/>
        <v>432000</v>
      </c>
      <c r="H55" s="34" t="str">
        <f t="shared" si="3"/>
        <v>Февраль</v>
      </c>
    </row>
    <row r="56" spans="1:8" x14ac:dyDescent="0.25">
      <c r="A56" s="2">
        <v>45712</v>
      </c>
      <c r="B56" s="1" t="s">
        <v>5</v>
      </c>
      <c r="C56" s="1" t="s">
        <v>12</v>
      </c>
      <c r="D56" s="1" t="s">
        <v>17</v>
      </c>
      <c r="E56" s="1">
        <v>12</v>
      </c>
      <c r="F56" s="1">
        <f t="shared" si="1"/>
        <v>45000</v>
      </c>
      <c r="G56" s="3">
        <f t="shared" si="2"/>
        <v>540000</v>
      </c>
      <c r="H56" s="34" t="str">
        <f t="shared" si="3"/>
        <v>Февраль</v>
      </c>
    </row>
    <row r="57" spans="1:8" x14ac:dyDescent="0.25">
      <c r="A57" s="2">
        <v>45713</v>
      </c>
      <c r="B57" s="1" t="s">
        <v>6</v>
      </c>
      <c r="C57" s="1" t="s">
        <v>12</v>
      </c>
      <c r="D57" s="1" t="s">
        <v>14</v>
      </c>
      <c r="E57" s="1">
        <v>13</v>
      </c>
      <c r="F57" s="1">
        <f t="shared" si="1"/>
        <v>700</v>
      </c>
      <c r="G57" s="3">
        <f t="shared" si="2"/>
        <v>9100</v>
      </c>
      <c r="H57" s="34" t="str">
        <f t="shared" si="3"/>
        <v>Февраль</v>
      </c>
    </row>
    <row r="58" spans="1:8" x14ac:dyDescent="0.25">
      <c r="A58" s="2">
        <v>45714</v>
      </c>
      <c r="B58" s="1" t="s">
        <v>7</v>
      </c>
      <c r="C58" s="1" t="s">
        <v>34</v>
      </c>
      <c r="D58" s="1" t="s">
        <v>15</v>
      </c>
      <c r="E58" s="1">
        <v>6</v>
      </c>
      <c r="F58" s="1">
        <f t="shared" si="1"/>
        <v>5000</v>
      </c>
      <c r="G58" s="3">
        <f t="shared" si="2"/>
        <v>30000</v>
      </c>
      <c r="H58" s="34" t="str">
        <f t="shared" si="3"/>
        <v>Февраль</v>
      </c>
    </row>
    <row r="59" spans="1:8" x14ac:dyDescent="0.25">
      <c r="A59" s="2">
        <v>45715</v>
      </c>
      <c r="B59" s="1" t="s">
        <v>8</v>
      </c>
      <c r="C59" s="1" t="s">
        <v>34</v>
      </c>
      <c r="D59" s="1" t="s">
        <v>14</v>
      </c>
      <c r="E59" s="1">
        <v>4</v>
      </c>
      <c r="F59" s="1">
        <f t="shared" si="1"/>
        <v>2100</v>
      </c>
      <c r="G59" s="3">
        <f t="shared" si="2"/>
        <v>8400</v>
      </c>
      <c r="H59" s="34" t="str">
        <f t="shared" si="3"/>
        <v>Февраль</v>
      </c>
    </row>
    <row r="60" spans="1:8" x14ac:dyDescent="0.25">
      <c r="A60" s="2">
        <v>45716</v>
      </c>
      <c r="B60" s="1" t="s">
        <v>10</v>
      </c>
      <c r="C60" s="1" t="s">
        <v>34</v>
      </c>
      <c r="D60" s="1" t="s">
        <v>15</v>
      </c>
      <c r="E60" s="1">
        <v>5</v>
      </c>
      <c r="F60" s="1">
        <f t="shared" si="1"/>
        <v>11000</v>
      </c>
      <c r="G60" s="3">
        <f t="shared" si="2"/>
        <v>55000</v>
      </c>
      <c r="H60" s="34" t="str">
        <f t="shared" si="3"/>
        <v>Февраль</v>
      </c>
    </row>
    <row r="61" spans="1:8" x14ac:dyDescent="0.25">
      <c r="A61" s="2">
        <v>45717</v>
      </c>
      <c r="B61" s="1" t="s">
        <v>11</v>
      </c>
      <c r="C61" s="1" t="s">
        <v>12</v>
      </c>
      <c r="D61" s="1" t="s">
        <v>15</v>
      </c>
      <c r="E61" s="1">
        <v>4</v>
      </c>
      <c r="F61" s="1">
        <f t="shared" si="1"/>
        <v>36000</v>
      </c>
      <c r="G61" s="3">
        <f t="shared" si="2"/>
        <v>144000</v>
      </c>
      <c r="H61" s="34" t="str">
        <f t="shared" si="3"/>
        <v>Март</v>
      </c>
    </row>
    <row r="62" spans="1:8" x14ac:dyDescent="0.25">
      <c r="A62" s="2">
        <v>45718</v>
      </c>
      <c r="B62" s="1" t="s">
        <v>5</v>
      </c>
      <c r="C62" s="1" t="s">
        <v>12</v>
      </c>
      <c r="D62" s="1" t="s">
        <v>14</v>
      </c>
      <c r="E62" s="1">
        <v>15</v>
      </c>
      <c r="F62" s="1">
        <f t="shared" si="1"/>
        <v>45000</v>
      </c>
      <c r="G62" s="3">
        <f t="shared" si="2"/>
        <v>675000</v>
      </c>
      <c r="H62" s="34" t="str">
        <f t="shared" si="3"/>
        <v>Март</v>
      </c>
    </row>
    <row r="63" spans="1:8" x14ac:dyDescent="0.25">
      <c r="A63" s="2">
        <v>45719</v>
      </c>
      <c r="B63" s="1" t="s">
        <v>6</v>
      </c>
      <c r="C63" s="1" t="s">
        <v>12</v>
      </c>
      <c r="D63" s="1" t="s">
        <v>16</v>
      </c>
      <c r="E63" s="1">
        <v>12</v>
      </c>
      <c r="F63" s="1">
        <f t="shared" si="1"/>
        <v>700</v>
      </c>
      <c r="G63" s="3">
        <f t="shared" si="2"/>
        <v>8400</v>
      </c>
      <c r="H63" s="34" t="str">
        <f t="shared" si="3"/>
        <v>Март</v>
      </c>
    </row>
    <row r="64" spans="1:8" x14ac:dyDescent="0.25">
      <c r="A64" s="2">
        <v>45720</v>
      </c>
      <c r="B64" s="1" t="s">
        <v>7</v>
      </c>
      <c r="C64" s="1" t="s">
        <v>34</v>
      </c>
      <c r="D64" s="1" t="s">
        <v>17</v>
      </c>
      <c r="E64" s="1">
        <v>10</v>
      </c>
      <c r="F64" s="1">
        <f t="shared" si="1"/>
        <v>5000</v>
      </c>
      <c r="G64" s="3">
        <f t="shared" si="2"/>
        <v>50000</v>
      </c>
      <c r="H64" s="34" t="str">
        <f t="shared" si="3"/>
        <v>Март</v>
      </c>
    </row>
    <row r="65" spans="1:8" x14ac:dyDescent="0.25">
      <c r="A65" s="2">
        <v>45721</v>
      </c>
      <c r="B65" s="1" t="s">
        <v>8</v>
      </c>
      <c r="C65" s="1" t="s">
        <v>34</v>
      </c>
      <c r="D65" s="1" t="s">
        <v>18</v>
      </c>
      <c r="E65" s="1">
        <v>2</v>
      </c>
      <c r="F65" s="1">
        <f t="shared" si="1"/>
        <v>2100</v>
      </c>
      <c r="G65" s="3">
        <f t="shared" si="2"/>
        <v>4200</v>
      </c>
      <c r="H65" s="34" t="str">
        <f t="shared" si="3"/>
        <v>Март</v>
      </c>
    </row>
    <row r="66" spans="1:8" x14ac:dyDescent="0.25">
      <c r="A66" s="2">
        <v>45722</v>
      </c>
      <c r="B66" s="1" t="s">
        <v>10</v>
      </c>
      <c r="C66" s="1" t="s">
        <v>34</v>
      </c>
      <c r="D66" s="1" t="s">
        <v>18</v>
      </c>
      <c r="E66" s="1">
        <v>4</v>
      </c>
      <c r="F66" s="1">
        <f t="shared" si="1"/>
        <v>11000</v>
      </c>
      <c r="G66" s="3">
        <f t="shared" si="2"/>
        <v>44000</v>
      </c>
      <c r="H66" s="34" t="str">
        <f t="shared" ref="H66:H97" si="4">CHOOSE(MONTH(A66),"Январь","Февраль","Март","Апрель","Май","Июнь","Июль","Август","Сентябрь","Октябрь","Ноябрь","Декабрь")</f>
        <v>Март</v>
      </c>
    </row>
    <row r="67" spans="1:8" x14ac:dyDescent="0.25">
      <c r="A67" s="2">
        <v>45723</v>
      </c>
      <c r="B67" s="1" t="s">
        <v>11</v>
      </c>
      <c r="C67" s="1" t="s">
        <v>12</v>
      </c>
      <c r="D67" s="1" t="s">
        <v>17</v>
      </c>
      <c r="E67" s="1">
        <v>1</v>
      </c>
      <c r="F67" s="1">
        <f t="shared" ref="F67:F122" si="5">VLOOKUP(B67,$J$1:$K$6,2,FALSE)</f>
        <v>36000</v>
      </c>
      <c r="G67" s="3">
        <f t="shared" ref="G67:G122" si="6">SUM(E67*F67)</f>
        <v>36000</v>
      </c>
      <c r="H67" s="34" t="str">
        <f t="shared" si="4"/>
        <v>Март</v>
      </c>
    </row>
    <row r="68" spans="1:8" x14ac:dyDescent="0.25">
      <c r="A68" s="2">
        <v>45724</v>
      </c>
      <c r="B68" s="1" t="s">
        <v>5</v>
      </c>
      <c r="C68" s="1" t="s">
        <v>12</v>
      </c>
      <c r="D68" s="1" t="s">
        <v>14</v>
      </c>
      <c r="E68" s="1">
        <v>1</v>
      </c>
      <c r="F68" s="1">
        <f t="shared" si="5"/>
        <v>45000</v>
      </c>
      <c r="G68" s="3">
        <f t="shared" si="6"/>
        <v>45000</v>
      </c>
      <c r="H68" s="34" t="str">
        <f t="shared" si="4"/>
        <v>Март</v>
      </c>
    </row>
    <row r="69" spans="1:8" x14ac:dyDescent="0.25">
      <c r="A69" s="2">
        <v>45725</v>
      </c>
      <c r="B69" s="1" t="s">
        <v>6</v>
      </c>
      <c r="C69" s="1" t="s">
        <v>12</v>
      </c>
      <c r="D69" s="1" t="s">
        <v>15</v>
      </c>
      <c r="E69" s="1">
        <v>9</v>
      </c>
      <c r="F69" s="1">
        <f t="shared" si="5"/>
        <v>700</v>
      </c>
      <c r="G69" s="3">
        <f t="shared" si="6"/>
        <v>6300</v>
      </c>
      <c r="H69" s="34" t="str">
        <f t="shared" si="4"/>
        <v>Март</v>
      </c>
    </row>
    <row r="70" spans="1:8" x14ac:dyDescent="0.25">
      <c r="A70" s="2">
        <v>45726</v>
      </c>
      <c r="B70" s="1" t="s">
        <v>7</v>
      </c>
      <c r="C70" s="1" t="s">
        <v>34</v>
      </c>
      <c r="D70" s="1" t="s">
        <v>14</v>
      </c>
      <c r="E70" s="1">
        <v>13</v>
      </c>
      <c r="F70" s="1">
        <f t="shared" si="5"/>
        <v>5000</v>
      </c>
      <c r="G70" s="3">
        <f t="shared" si="6"/>
        <v>65000</v>
      </c>
      <c r="H70" s="34" t="str">
        <f t="shared" si="4"/>
        <v>Март</v>
      </c>
    </row>
    <row r="71" spans="1:8" x14ac:dyDescent="0.25">
      <c r="A71" s="2">
        <v>45727</v>
      </c>
      <c r="B71" s="1" t="s">
        <v>8</v>
      </c>
      <c r="C71" s="1" t="s">
        <v>34</v>
      </c>
      <c r="D71" s="1" t="s">
        <v>15</v>
      </c>
      <c r="E71" s="1">
        <v>12</v>
      </c>
      <c r="F71" s="1">
        <f t="shared" si="5"/>
        <v>2100</v>
      </c>
      <c r="G71" s="3">
        <f t="shared" si="6"/>
        <v>25200</v>
      </c>
      <c r="H71" s="34" t="str">
        <f t="shared" si="4"/>
        <v>Март</v>
      </c>
    </row>
    <row r="72" spans="1:8" x14ac:dyDescent="0.25">
      <c r="A72" s="2">
        <v>45728</v>
      </c>
      <c r="B72" s="1" t="s">
        <v>10</v>
      </c>
      <c r="C72" s="1" t="s">
        <v>34</v>
      </c>
      <c r="D72" s="1" t="s">
        <v>15</v>
      </c>
      <c r="E72" s="1">
        <v>7</v>
      </c>
      <c r="F72" s="1">
        <f t="shared" si="5"/>
        <v>11000</v>
      </c>
      <c r="G72" s="3">
        <f t="shared" si="6"/>
        <v>77000</v>
      </c>
      <c r="H72" s="34" t="str">
        <f t="shared" si="4"/>
        <v>Март</v>
      </c>
    </row>
    <row r="73" spans="1:8" x14ac:dyDescent="0.25">
      <c r="A73" s="2">
        <v>45729</v>
      </c>
      <c r="B73" s="1" t="s">
        <v>11</v>
      </c>
      <c r="C73" s="1" t="s">
        <v>12</v>
      </c>
      <c r="D73" s="1" t="s">
        <v>14</v>
      </c>
      <c r="E73" s="1">
        <v>3</v>
      </c>
      <c r="F73" s="1">
        <f t="shared" si="5"/>
        <v>36000</v>
      </c>
      <c r="G73" s="3">
        <f t="shared" si="6"/>
        <v>108000</v>
      </c>
      <c r="H73" s="34" t="str">
        <f t="shared" si="4"/>
        <v>Март</v>
      </c>
    </row>
    <row r="74" spans="1:8" x14ac:dyDescent="0.25">
      <c r="A74" s="2">
        <v>45730</v>
      </c>
      <c r="B74" s="1" t="s">
        <v>5</v>
      </c>
      <c r="C74" s="1" t="s">
        <v>12</v>
      </c>
      <c r="D74" s="1" t="s">
        <v>16</v>
      </c>
      <c r="E74" s="1">
        <v>2</v>
      </c>
      <c r="F74" s="1">
        <f t="shared" si="5"/>
        <v>45000</v>
      </c>
      <c r="G74" s="3">
        <f t="shared" si="6"/>
        <v>90000</v>
      </c>
      <c r="H74" s="34" t="str">
        <f t="shared" si="4"/>
        <v>Март</v>
      </c>
    </row>
    <row r="75" spans="1:8" x14ac:dyDescent="0.25">
      <c r="A75" s="2">
        <v>45731</v>
      </c>
      <c r="B75" s="1" t="s">
        <v>6</v>
      </c>
      <c r="C75" s="1" t="s">
        <v>12</v>
      </c>
      <c r="D75" s="1" t="s">
        <v>17</v>
      </c>
      <c r="E75" s="1">
        <v>8</v>
      </c>
      <c r="F75" s="1">
        <f t="shared" si="5"/>
        <v>700</v>
      </c>
      <c r="G75" s="3">
        <f t="shared" si="6"/>
        <v>5600</v>
      </c>
      <c r="H75" s="34" t="str">
        <f t="shared" si="4"/>
        <v>Март</v>
      </c>
    </row>
    <row r="76" spans="1:8" x14ac:dyDescent="0.25">
      <c r="A76" s="2">
        <v>45732</v>
      </c>
      <c r="B76" s="1" t="s">
        <v>7</v>
      </c>
      <c r="C76" s="1" t="s">
        <v>34</v>
      </c>
      <c r="D76" s="1" t="s">
        <v>18</v>
      </c>
      <c r="E76" s="1">
        <v>3</v>
      </c>
      <c r="F76" s="1">
        <f t="shared" si="5"/>
        <v>5000</v>
      </c>
      <c r="G76" s="3">
        <f t="shared" si="6"/>
        <v>15000</v>
      </c>
      <c r="H76" s="34" t="str">
        <f t="shared" si="4"/>
        <v>Март</v>
      </c>
    </row>
    <row r="77" spans="1:8" x14ac:dyDescent="0.25">
      <c r="A77" s="2">
        <v>45733</v>
      </c>
      <c r="B77" s="1" t="s">
        <v>8</v>
      </c>
      <c r="C77" s="1" t="s">
        <v>34</v>
      </c>
      <c r="D77" s="1" t="s">
        <v>18</v>
      </c>
      <c r="E77" s="1">
        <v>10</v>
      </c>
      <c r="F77" s="1">
        <f t="shared" si="5"/>
        <v>2100</v>
      </c>
      <c r="G77" s="3">
        <f t="shared" si="6"/>
        <v>21000</v>
      </c>
      <c r="H77" s="34" t="str">
        <f t="shared" si="4"/>
        <v>Март</v>
      </c>
    </row>
    <row r="78" spans="1:8" x14ac:dyDescent="0.25">
      <c r="A78" s="2">
        <v>45734</v>
      </c>
      <c r="B78" s="1" t="s">
        <v>10</v>
      </c>
      <c r="C78" s="1" t="s">
        <v>34</v>
      </c>
      <c r="D78" s="1" t="s">
        <v>17</v>
      </c>
      <c r="E78" s="1">
        <v>8</v>
      </c>
      <c r="F78" s="1">
        <f t="shared" si="5"/>
        <v>11000</v>
      </c>
      <c r="G78" s="3">
        <f t="shared" si="6"/>
        <v>88000</v>
      </c>
      <c r="H78" s="34" t="str">
        <f t="shared" si="4"/>
        <v>Март</v>
      </c>
    </row>
    <row r="79" spans="1:8" x14ac:dyDescent="0.25">
      <c r="A79" s="2">
        <v>45735</v>
      </c>
      <c r="B79" s="1" t="s">
        <v>11</v>
      </c>
      <c r="C79" s="1" t="s">
        <v>12</v>
      </c>
      <c r="D79" s="1" t="s">
        <v>14</v>
      </c>
      <c r="E79" s="1">
        <v>1</v>
      </c>
      <c r="F79" s="1">
        <f t="shared" si="5"/>
        <v>36000</v>
      </c>
      <c r="G79" s="3">
        <f t="shared" si="6"/>
        <v>36000</v>
      </c>
      <c r="H79" s="34" t="str">
        <f t="shared" si="4"/>
        <v>Март</v>
      </c>
    </row>
    <row r="80" spans="1:8" x14ac:dyDescent="0.25">
      <c r="A80" s="2">
        <v>45736</v>
      </c>
      <c r="B80" s="1" t="s">
        <v>5</v>
      </c>
      <c r="C80" s="1" t="s">
        <v>12</v>
      </c>
      <c r="D80" s="1" t="s">
        <v>15</v>
      </c>
      <c r="E80" s="1">
        <v>13</v>
      </c>
      <c r="F80" s="1">
        <f t="shared" si="5"/>
        <v>45000</v>
      </c>
      <c r="G80" s="3">
        <f t="shared" si="6"/>
        <v>585000</v>
      </c>
      <c r="H80" s="34" t="str">
        <f t="shared" si="4"/>
        <v>Март</v>
      </c>
    </row>
    <row r="81" spans="1:8" x14ac:dyDescent="0.25">
      <c r="A81" s="2">
        <v>45737</v>
      </c>
      <c r="B81" s="1" t="s">
        <v>6</v>
      </c>
      <c r="C81" s="1" t="s">
        <v>12</v>
      </c>
      <c r="D81" s="1" t="s">
        <v>14</v>
      </c>
      <c r="E81" s="1">
        <v>8</v>
      </c>
      <c r="F81" s="1">
        <f t="shared" si="5"/>
        <v>700</v>
      </c>
      <c r="G81" s="3">
        <f t="shared" si="6"/>
        <v>5600</v>
      </c>
      <c r="H81" s="34" t="str">
        <f t="shared" si="4"/>
        <v>Март</v>
      </c>
    </row>
    <row r="82" spans="1:8" x14ac:dyDescent="0.25">
      <c r="A82" s="2">
        <v>45738</v>
      </c>
      <c r="B82" s="1" t="s">
        <v>7</v>
      </c>
      <c r="C82" s="1" t="s">
        <v>34</v>
      </c>
      <c r="D82" s="1" t="s">
        <v>15</v>
      </c>
      <c r="E82" s="1">
        <v>15</v>
      </c>
      <c r="F82" s="1">
        <f t="shared" si="5"/>
        <v>5000</v>
      </c>
      <c r="G82" s="3">
        <f t="shared" si="6"/>
        <v>75000</v>
      </c>
      <c r="H82" s="34" t="str">
        <f t="shared" si="4"/>
        <v>Март</v>
      </c>
    </row>
    <row r="83" spans="1:8" x14ac:dyDescent="0.25">
      <c r="A83" s="2">
        <v>45739</v>
      </c>
      <c r="B83" s="1" t="s">
        <v>8</v>
      </c>
      <c r="C83" s="1" t="s">
        <v>34</v>
      </c>
      <c r="D83" s="1" t="s">
        <v>15</v>
      </c>
      <c r="E83" s="1">
        <v>9</v>
      </c>
      <c r="F83" s="1">
        <f t="shared" si="5"/>
        <v>2100</v>
      </c>
      <c r="G83" s="3">
        <f t="shared" si="6"/>
        <v>18900</v>
      </c>
      <c r="H83" s="34" t="str">
        <f t="shared" si="4"/>
        <v>Март</v>
      </c>
    </row>
    <row r="84" spans="1:8" x14ac:dyDescent="0.25">
      <c r="A84" s="2">
        <v>45740</v>
      </c>
      <c r="B84" s="1" t="s">
        <v>10</v>
      </c>
      <c r="C84" s="1" t="s">
        <v>34</v>
      </c>
      <c r="D84" s="1" t="s">
        <v>14</v>
      </c>
      <c r="E84" s="1">
        <v>8</v>
      </c>
      <c r="F84" s="1">
        <f t="shared" si="5"/>
        <v>11000</v>
      </c>
      <c r="G84" s="3">
        <f t="shared" si="6"/>
        <v>88000</v>
      </c>
      <c r="H84" s="34" t="str">
        <f t="shared" si="4"/>
        <v>Март</v>
      </c>
    </row>
    <row r="85" spans="1:8" x14ac:dyDescent="0.25">
      <c r="A85" s="2">
        <v>45741</v>
      </c>
      <c r="B85" s="1" t="s">
        <v>11</v>
      </c>
      <c r="C85" s="1" t="s">
        <v>12</v>
      </c>
      <c r="D85" s="1" t="s">
        <v>16</v>
      </c>
      <c r="E85" s="1">
        <v>10</v>
      </c>
      <c r="F85" s="1">
        <f t="shared" si="5"/>
        <v>36000</v>
      </c>
      <c r="G85" s="3">
        <f t="shared" si="6"/>
        <v>360000</v>
      </c>
      <c r="H85" s="34" t="str">
        <f t="shared" si="4"/>
        <v>Март</v>
      </c>
    </row>
    <row r="86" spans="1:8" x14ac:dyDescent="0.25">
      <c r="A86" s="2">
        <v>45742</v>
      </c>
      <c r="B86" s="1" t="s">
        <v>5</v>
      </c>
      <c r="C86" s="1" t="s">
        <v>12</v>
      </c>
      <c r="D86" s="1" t="s">
        <v>17</v>
      </c>
      <c r="E86" s="1">
        <v>7</v>
      </c>
      <c r="F86" s="1">
        <f t="shared" si="5"/>
        <v>45000</v>
      </c>
      <c r="G86" s="3">
        <f t="shared" si="6"/>
        <v>315000</v>
      </c>
      <c r="H86" s="34" t="str">
        <f t="shared" si="4"/>
        <v>Март</v>
      </c>
    </row>
    <row r="87" spans="1:8" x14ac:dyDescent="0.25">
      <c r="A87" s="2">
        <v>45743</v>
      </c>
      <c r="B87" s="1" t="s">
        <v>6</v>
      </c>
      <c r="C87" s="1" t="s">
        <v>12</v>
      </c>
      <c r="D87" s="1" t="s">
        <v>18</v>
      </c>
      <c r="E87" s="1">
        <v>14</v>
      </c>
      <c r="F87" s="1">
        <f t="shared" si="5"/>
        <v>700</v>
      </c>
      <c r="G87" s="3">
        <f t="shared" si="6"/>
        <v>9800</v>
      </c>
      <c r="H87" s="34" t="str">
        <f t="shared" si="4"/>
        <v>Март</v>
      </c>
    </row>
    <row r="88" spans="1:8" x14ac:dyDescent="0.25">
      <c r="A88" s="2">
        <v>45744</v>
      </c>
      <c r="B88" s="1" t="s">
        <v>7</v>
      </c>
      <c r="C88" s="1" t="s">
        <v>34</v>
      </c>
      <c r="D88" s="1" t="s">
        <v>18</v>
      </c>
      <c r="E88" s="1">
        <v>4</v>
      </c>
      <c r="F88" s="1">
        <f t="shared" si="5"/>
        <v>5000</v>
      </c>
      <c r="G88" s="3">
        <f t="shared" si="6"/>
        <v>20000</v>
      </c>
      <c r="H88" s="34" t="str">
        <f t="shared" si="4"/>
        <v>Март</v>
      </c>
    </row>
    <row r="89" spans="1:8" x14ac:dyDescent="0.25">
      <c r="A89" s="2">
        <v>45745</v>
      </c>
      <c r="B89" s="1" t="s">
        <v>8</v>
      </c>
      <c r="C89" s="1" t="s">
        <v>34</v>
      </c>
      <c r="D89" s="1" t="s">
        <v>17</v>
      </c>
      <c r="E89" s="1">
        <v>6</v>
      </c>
      <c r="F89" s="1">
        <f t="shared" si="5"/>
        <v>2100</v>
      </c>
      <c r="G89" s="3">
        <f t="shared" si="6"/>
        <v>12600</v>
      </c>
      <c r="H89" s="34" t="str">
        <f t="shared" si="4"/>
        <v>Март</v>
      </c>
    </row>
    <row r="90" spans="1:8" x14ac:dyDescent="0.25">
      <c r="A90" s="2">
        <v>45746</v>
      </c>
      <c r="B90" s="1" t="s">
        <v>10</v>
      </c>
      <c r="C90" s="1" t="s">
        <v>34</v>
      </c>
      <c r="D90" s="1" t="s">
        <v>14</v>
      </c>
      <c r="E90" s="1">
        <v>4</v>
      </c>
      <c r="F90" s="1">
        <f t="shared" si="5"/>
        <v>11000</v>
      </c>
      <c r="G90" s="3">
        <f t="shared" si="6"/>
        <v>44000</v>
      </c>
      <c r="H90" s="34" t="str">
        <f t="shared" si="4"/>
        <v>Март</v>
      </c>
    </row>
    <row r="91" spans="1:8" x14ac:dyDescent="0.25">
      <c r="A91" s="2">
        <v>45747</v>
      </c>
      <c r="B91" s="1" t="s">
        <v>11</v>
      </c>
      <c r="C91" s="1" t="s">
        <v>12</v>
      </c>
      <c r="D91" s="1" t="s">
        <v>15</v>
      </c>
      <c r="E91" s="1">
        <v>10</v>
      </c>
      <c r="F91" s="1">
        <f t="shared" si="5"/>
        <v>36000</v>
      </c>
      <c r="G91" s="3">
        <f t="shared" si="6"/>
        <v>360000</v>
      </c>
      <c r="H91" s="34" t="str">
        <f t="shared" si="4"/>
        <v>Март</v>
      </c>
    </row>
    <row r="92" spans="1:8" x14ac:dyDescent="0.25">
      <c r="A92" s="2">
        <v>45748</v>
      </c>
      <c r="B92" s="1" t="s">
        <v>5</v>
      </c>
      <c r="C92" s="1" t="s">
        <v>12</v>
      </c>
      <c r="D92" s="1" t="s">
        <v>14</v>
      </c>
      <c r="E92" s="1">
        <v>13</v>
      </c>
      <c r="F92" s="1">
        <f t="shared" si="5"/>
        <v>45000</v>
      </c>
      <c r="G92" s="3">
        <f t="shared" si="6"/>
        <v>585000</v>
      </c>
      <c r="H92" s="34" t="str">
        <f t="shared" si="4"/>
        <v>Апрель</v>
      </c>
    </row>
    <row r="93" spans="1:8" x14ac:dyDescent="0.25">
      <c r="A93" s="2">
        <v>45749</v>
      </c>
      <c r="B93" s="1" t="s">
        <v>6</v>
      </c>
      <c r="C93" s="1" t="s">
        <v>12</v>
      </c>
      <c r="D93" s="1" t="s">
        <v>15</v>
      </c>
      <c r="E93" s="1">
        <v>6</v>
      </c>
      <c r="F93" s="1">
        <f t="shared" si="5"/>
        <v>700</v>
      </c>
      <c r="G93" s="3">
        <f t="shared" si="6"/>
        <v>4200</v>
      </c>
      <c r="H93" s="34" t="str">
        <f t="shared" si="4"/>
        <v>Апрель</v>
      </c>
    </row>
    <row r="94" spans="1:8" x14ac:dyDescent="0.25">
      <c r="A94" s="2">
        <v>45750</v>
      </c>
      <c r="B94" s="1" t="s">
        <v>7</v>
      </c>
      <c r="C94" s="1" t="s">
        <v>34</v>
      </c>
      <c r="D94" s="1" t="s">
        <v>15</v>
      </c>
      <c r="E94" s="1">
        <v>9</v>
      </c>
      <c r="F94" s="1">
        <f t="shared" si="5"/>
        <v>5000</v>
      </c>
      <c r="G94" s="3">
        <f t="shared" si="6"/>
        <v>45000</v>
      </c>
      <c r="H94" s="34" t="str">
        <f t="shared" si="4"/>
        <v>Апрель</v>
      </c>
    </row>
    <row r="95" spans="1:8" x14ac:dyDescent="0.25">
      <c r="A95" s="2">
        <v>45751</v>
      </c>
      <c r="B95" s="1" t="s">
        <v>8</v>
      </c>
      <c r="C95" s="1" t="s">
        <v>34</v>
      </c>
      <c r="D95" s="1" t="s">
        <v>14</v>
      </c>
      <c r="E95" s="1">
        <v>4</v>
      </c>
      <c r="F95" s="1">
        <f t="shared" si="5"/>
        <v>2100</v>
      </c>
      <c r="G95" s="3">
        <f t="shared" si="6"/>
        <v>8400</v>
      </c>
      <c r="H95" s="34" t="str">
        <f t="shared" si="4"/>
        <v>Апрель</v>
      </c>
    </row>
    <row r="96" spans="1:8" x14ac:dyDescent="0.25">
      <c r="A96" s="2">
        <v>45752</v>
      </c>
      <c r="B96" s="1" t="s">
        <v>10</v>
      </c>
      <c r="C96" s="1" t="s">
        <v>34</v>
      </c>
      <c r="D96" s="1" t="s">
        <v>16</v>
      </c>
      <c r="E96" s="1">
        <v>12</v>
      </c>
      <c r="F96" s="1">
        <f t="shared" si="5"/>
        <v>11000</v>
      </c>
      <c r="G96" s="3">
        <f t="shared" si="6"/>
        <v>132000</v>
      </c>
      <c r="H96" s="34" t="str">
        <f t="shared" si="4"/>
        <v>Апрель</v>
      </c>
    </row>
    <row r="97" spans="1:8" x14ac:dyDescent="0.25">
      <c r="A97" s="2">
        <v>45753</v>
      </c>
      <c r="B97" s="1" t="s">
        <v>11</v>
      </c>
      <c r="C97" s="1" t="s">
        <v>12</v>
      </c>
      <c r="D97" s="1" t="s">
        <v>17</v>
      </c>
      <c r="E97" s="1">
        <v>6</v>
      </c>
      <c r="F97" s="1">
        <f t="shared" si="5"/>
        <v>36000</v>
      </c>
      <c r="G97" s="3">
        <f t="shared" si="6"/>
        <v>216000</v>
      </c>
      <c r="H97" s="34" t="str">
        <f t="shared" si="4"/>
        <v>Апрель</v>
      </c>
    </row>
    <row r="98" spans="1:8" x14ac:dyDescent="0.25">
      <c r="A98" s="2">
        <v>45754</v>
      </c>
      <c r="B98" s="1" t="s">
        <v>5</v>
      </c>
      <c r="C98" s="1" t="s">
        <v>12</v>
      </c>
      <c r="D98" s="1" t="s">
        <v>18</v>
      </c>
      <c r="E98" s="1">
        <v>15</v>
      </c>
      <c r="F98" s="1">
        <f t="shared" si="5"/>
        <v>45000</v>
      </c>
      <c r="G98" s="3">
        <f t="shared" si="6"/>
        <v>675000</v>
      </c>
      <c r="H98" s="34" t="str">
        <f t="shared" ref="H98:H122" si="7">CHOOSE(MONTH(A98),"Январь","Февраль","Март","Апрель","Май","Июнь","Июль","Август","Сентябрь","Октябрь","Ноябрь","Декабрь")</f>
        <v>Апрель</v>
      </c>
    </row>
    <row r="99" spans="1:8" x14ac:dyDescent="0.25">
      <c r="A99" s="2">
        <v>45755</v>
      </c>
      <c r="B99" s="1" t="s">
        <v>6</v>
      </c>
      <c r="C99" s="1" t="s">
        <v>12</v>
      </c>
      <c r="D99" s="1" t="s">
        <v>18</v>
      </c>
      <c r="E99" s="1">
        <v>2</v>
      </c>
      <c r="F99" s="1">
        <f t="shared" si="5"/>
        <v>700</v>
      </c>
      <c r="G99" s="3">
        <f t="shared" si="6"/>
        <v>1400</v>
      </c>
      <c r="H99" s="34" t="str">
        <f t="shared" si="7"/>
        <v>Апрель</v>
      </c>
    </row>
    <row r="100" spans="1:8" x14ac:dyDescent="0.25">
      <c r="A100" s="2">
        <v>45756</v>
      </c>
      <c r="B100" s="1" t="s">
        <v>7</v>
      </c>
      <c r="C100" s="1" t="s">
        <v>34</v>
      </c>
      <c r="D100" s="1" t="s">
        <v>17</v>
      </c>
      <c r="E100" s="1">
        <v>8</v>
      </c>
      <c r="F100" s="1">
        <f t="shared" si="5"/>
        <v>5000</v>
      </c>
      <c r="G100" s="3">
        <f t="shared" si="6"/>
        <v>40000</v>
      </c>
      <c r="H100" s="34" t="str">
        <f t="shared" si="7"/>
        <v>Апрель</v>
      </c>
    </row>
    <row r="101" spans="1:8" x14ac:dyDescent="0.25">
      <c r="A101" s="2">
        <v>45757</v>
      </c>
      <c r="B101" s="1" t="s">
        <v>8</v>
      </c>
      <c r="C101" s="1" t="s">
        <v>34</v>
      </c>
      <c r="D101" s="1" t="s">
        <v>14</v>
      </c>
      <c r="E101" s="1">
        <v>8</v>
      </c>
      <c r="F101" s="1">
        <f t="shared" si="5"/>
        <v>2100</v>
      </c>
      <c r="G101" s="3">
        <f t="shared" si="6"/>
        <v>16800</v>
      </c>
      <c r="H101" s="34" t="str">
        <f t="shared" si="7"/>
        <v>Апрель</v>
      </c>
    </row>
    <row r="102" spans="1:8" x14ac:dyDescent="0.25">
      <c r="A102" s="2">
        <v>45758</v>
      </c>
      <c r="B102" s="1" t="s">
        <v>10</v>
      </c>
      <c r="C102" s="1" t="s">
        <v>34</v>
      </c>
      <c r="D102" s="1" t="s">
        <v>15</v>
      </c>
      <c r="E102" s="1">
        <v>7</v>
      </c>
      <c r="F102" s="1">
        <f t="shared" si="5"/>
        <v>11000</v>
      </c>
      <c r="G102" s="3">
        <f t="shared" si="6"/>
        <v>77000</v>
      </c>
      <c r="H102" s="34" t="str">
        <f t="shared" si="7"/>
        <v>Апрель</v>
      </c>
    </row>
    <row r="103" spans="1:8" x14ac:dyDescent="0.25">
      <c r="A103" s="2">
        <v>45759</v>
      </c>
      <c r="B103" s="1" t="s">
        <v>11</v>
      </c>
      <c r="C103" s="1" t="s">
        <v>12</v>
      </c>
      <c r="D103" s="1" t="s">
        <v>14</v>
      </c>
      <c r="E103" s="1">
        <v>8</v>
      </c>
      <c r="F103" s="1">
        <f t="shared" si="5"/>
        <v>36000</v>
      </c>
      <c r="G103" s="3">
        <f t="shared" si="6"/>
        <v>288000</v>
      </c>
      <c r="H103" s="34" t="str">
        <f t="shared" si="7"/>
        <v>Апрель</v>
      </c>
    </row>
    <row r="104" spans="1:8" x14ac:dyDescent="0.25">
      <c r="A104" s="2">
        <v>45760</v>
      </c>
      <c r="B104" s="1" t="s">
        <v>5</v>
      </c>
      <c r="C104" s="1" t="s">
        <v>12</v>
      </c>
      <c r="D104" s="1" t="s">
        <v>15</v>
      </c>
      <c r="E104" s="1">
        <v>14</v>
      </c>
      <c r="F104" s="1">
        <f t="shared" si="5"/>
        <v>45000</v>
      </c>
      <c r="G104" s="3">
        <f t="shared" si="6"/>
        <v>630000</v>
      </c>
      <c r="H104" s="34" t="str">
        <f t="shared" si="7"/>
        <v>Апрель</v>
      </c>
    </row>
    <row r="105" spans="1:8" x14ac:dyDescent="0.25">
      <c r="A105" s="2">
        <v>45761</v>
      </c>
      <c r="B105" s="1" t="s">
        <v>6</v>
      </c>
      <c r="C105" s="1" t="s">
        <v>12</v>
      </c>
      <c r="D105" s="1" t="s">
        <v>15</v>
      </c>
      <c r="E105" s="1">
        <v>3</v>
      </c>
      <c r="F105" s="1">
        <f t="shared" si="5"/>
        <v>700</v>
      </c>
      <c r="G105" s="3">
        <f t="shared" si="6"/>
        <v>2100</v>
      </c>
      <c r="H105" s="34" t="str">
        <f t="shared" si="7"/>
        <v>Апрель</v>
      </c>
    </row>
    <row r="106" spans="1:8" x14ac:dyDescent="0.25">
      <c r="A106" s="2">
        <v>45762</v>
      </c>
      <c r="B106" s="1" t="s">
        <v>7</v>
      </c>
      <c r="C106" s="1" t="s">
        <v>34</v>
      </c>
      <c r="D106" s="1" t="s">
        <v>14</v>
      </c>
      <c r="E106" s="1">
        <v>11</v>
      </c>
      <c r="F106" s="1">
        <f t="shared" si="5"/>
        <v>5000</v>
      </c>
      <c r="G106" s="3">
        <f t="shared" si="6"/>
        <v>55000</v>
      </c>
      <c r="H106" s="34" t="str">
        <f t="shared" si="7"/>
        <v>Апрель</v>
      </c>
    </row>
    <row r="107" spans="1:8" x14ac:dyDescent="0.25">
      <c r="A107" s="2">
        <v>45763</v>
      </c>
      <c r="B107" s="1" t="s">
        <v>8</v>
      </c>
      <c r="C107" s="1" t="s">
        <v>34</v>
      </c>
      <c r="D107" s="1" t="s">
        <v>16</v>
      </c>
      <c r="E107" s="1">
        <v>2</v>
      </c>
      <c r="F107" s="1">
        <f t="shared" si="5"/>
        <v>2100</v>
      </c>
      <c r="G107" s="3">
        <f t="shared" si="6"/>
        <v>4200</v>
      </c>
      <c r="H107" s="34" t="str">
        <f t="shared" si="7"/>
        <v>Апрель</v>
      </c>
    </row>
    <row r="108" spans="1:8" x14ac:dyDescent="0.25">
      <c r="A108" s="2">
        <v>45764</v>
      </c>
      <c r="B108" s="1" t="s">
        <v>10</v>
      </c>
      <c r="C108" s="1" t="s">
        <v>34</v>
      </c>
      <c r="D108" s="1" t="s">
        <v>17</v>
      </c>
      <c r="E108" s="1">
        <v>2</v>
      </c>
      <c r="F108" s="1">
        <f t="shared" si="5"/>
        <v>11000</v>
      </c>
      <c r="G108" s="3">
        <f t="shared" si="6"/>
        <v>22000</v>
      </c>
      <c r="H108" s="34" t="str">
        <f t="shared" si="7"/>
        <v>Апрель</v>
      </c>
    </row>
    <row r="109" spans="1:8" x14ac:dyDescent="0.25">
      <c r="A109" s="2">
        <v>45765</v>
      </c>
      <c r="B109" s="1" t="s">
        <v>11</v>
      </c>
      <c r="C109" s="1" t="s">
        <v>12</v>
      </c>
      <c r="D109" s="1" t="s">
        <v>18</v>
      </c>
      <c r="E109" s="1">
        <v>1</v>
      </c>
      <c r="F109" s="1">
        <f t="shared" si="5"/>
        <v>36000</v>
      </c>
      <c r="G109" s="3">
        <f t="shared" si="6"/>
        <v>36000</v>
      </c>
      <c r="H109" s="34" t="str">
        <f t="shared" si="7"/>
        <v>Апрель</v>
      </c>
    </row>
    <row r="110" spans="1:8" x14ac:dyDescent="0.25">
      <c r="A110" s="2">
        <v>45766</v>
      </c>
      <c r="B110" s="1" t="s">
        <v>5</v>
      </c>
      <c r="C110" s="1" t="s">
        <v>12</v>
      </c>
      <c r="D110" s="1" t="s">
        <v>18</v>
      </c>
      <c r="E110" s="1">
        <v>15</v>
      </c>
      <c r="F110" s="1">
        <f t="shared" si="5"/>
        <v>45000</v>
      </c>
      <c r="G110" s="3">
        <f t="shared" si="6"/>
        <v>675000</v>
      </c>
      <c r="H110" s="34" t="str">
        <f t="shared" si="7"/>
        <v>Апрель</v>
      </c>
    </row>
    <row r="111" spans="1:8" x14ac:dyDescent="0.25">
      <c r="A111" s="2">
        <v>45767</v>
      </c>
      <c r="B111" s="1" t="s">
        <v>6</v>
      </c>
      <c r="C111" s="1" t="s">
        <v>12</v>
      </c>
      <c r="D111" s="1" t="s">
        <v>17</v>
      </c>
      <c r="E111" s="1">
        <v>14</v>
      </c>
      <c r="F111" s="1">
        <f t="shared" si="5"/>
        <v>700</v>
      </c>
      <c r="G111" s="3">
        <f t="shared" si="6"/>
        <v>9800</v>
      </c>
      <c r="H111" s="34" t="str">
        <f t="shared" si="7"/>
        <v>Апрель</v>
      </c>
    </row>
    <row r="112" spans="1:8" x14ac:dyDescent="0.25">
      <c r="A112" s="2">
        <v>45768</v>
      </c>
      <c r="B112" s="1" t="s">
        <v>7</v>
      </c>
      <c r="C112" s="1" t="s">
        <v>13</v>
      </c>
      <c r="D112" s="1" t="s">
        <v>14</v>
      </c>
      <c r="E112" s="1">
        <v>9</v>
      </c>
      <c r="F112" s="1">
        <f t="shared" si="5"/>
        <v>5000</v>
      </c>
      <c r="G112" s="3">
        <f t="shared" si="6"/>
        <v>45000</v>
      </c>
      <c r="H112" s="34" t="str">
        <f t="shared" si="7"/>
        <v>Апрель</v>
      </c>
    </row>
    <row r="113" spans="1:8" x14ac:dyDescent="0.25">
      <c r="A113" s="2">
        <v>45769</v>
      </c>
      <c r="B113" s="1" t="s">
        <v>8</v>
      </c>
      <c r="C113" s="1" t="s">
        <v>34</v>
      </c>
      <c r="D113" s="1" t="s">
        <v>15</v>
      </c>
      <c r="E113" s="1">
        <v>15</v>
      </c>
      <c r="F113" s="1">
        <f t="shared" si="5"/>
        <v>2100</v>
      </c>
      <c r="G113" s="3">
        <f t="shared" si="6"/>
        <v>31500</v>
      </c>
      <c r="H113" s="34" t="str">
        <f t="shared" si="7"/>
        <v>Апрель</v>
      </c>
    </row>
    <row r="114" spans="1:8" x14ac:dyDescent="0.25">
      <c r="A114" s="2">
        <v>45770</v>
      </c>
      <c r="B114" s="1" t="s">
        <v>10</v>
      </c>
      <c r="C114" s="1" t="s">
        <v>34</v>
      </c>
      <c r="D114" s="1" t="s">
        <v>14</v>
      </c>
      <c r="E114" s="1">
        <v>8</v>
      </c>
      <c r="F114" s="1">
        <f t="shared" si="5"/>
        <v>11000</v>
      </c>
      <c r="G114" s="3">
        <f t="shared" si="6"/>
        <v>88000</v>
      </c>
      <c r="H114" s="34" t="str">
        <f t="shared" si="7"/>
        <v>Апрель</v>
      </c>
    </row>
    <row r="115" spans="1:8" x14ac:dyDescent="0.25">
      <c r="A115" s="2">
        <v>45771</v>
      </c>
      <c r="B115" s="1" t="s">
        <v>11</v>
      </c>
      <c r="C115" s="1" t="s">
        <v>12</v>
      </c>
      <c r="D115" s="1" t="s">
        <v>15</v>
      </c>
      <c r="E115" s="1">
        <v>13</v>
      </c>
      <c r="F115" s="1">
        <f t="shared" si="5"/>
        <v>36000</v>
      </c>
      <c r="G115" s="3">
        <f t="shared" si="6"/>
        <v>468000</v>
      </c>
      <c r="H115" s="34" t="str">
        <f t="shared" si="7"/>
        <v>Апрель</v>
      </c>
    </row>
    <row r="116" spans="1:8" x14ac:dyDescent="0.25">
      <c r="A116" s="2">
        <v>45772</v>
      </c>
      <c r="B116" s="1" t="s">
        <v>5</v>
      </c>
      <c r="C116" s="1" t="s">
        <v>12</v>
      </c>
      <c r="D116" s="1" t="s">
        <v>15</v>
      </c>
      <c r="E116" s="1">
        <v>14</v>
      </c>
      <c r="F116" s="1">
        <f t="shared" si="5"/>
        <v>45000</v>
      </c>
      <c r="G116" s="3">
        <f t="shared" si="6"/>
        <v>630000</v>
      </c>
      <c r="H116" s="34" t="str">
        <f t="shared" si="7"/>
        <v>Апрель</v>
      </c>
    </row>
    <row r="117" spans="1:8" x14ac:dyDescent="0.25">
      <c r="A117" s="2">
        <v>45773</v>
      </c>
      <c r="B117" s="1" t="s">
        <v>6</v>
      </c>
      <c r="C117" s="1" t="s">
        <v>12</v>
      </c>
      <c r="D117" s="1" t="s">
        <v>14</v>
      </c>
      <c r="E117" s="1">
        <v>5</v>
      </c>
      <c r="F117" s="1">
        <f t="shared" si="5"/>
        <v>700</v>
      </c>
      <c r="G117" s="3">
        <f t="shared" si="6"/>
        <v>3500</v>
      </c>
      <c r="H117" s="34" t="str">
        <f t="shared" si="7"/>
        <v>Апрель</v>
      </c>
    </row>
    <row r="118" spans="1:8" x14ac:dyDescent="0.25">
      <c r="A118" s="2">
        <v>45774</v>
      </c>
      <c r="B118" s="1" t="s">
        <v>7</v>
      </c>
      <c r="C118" s="1" t="s">
        <v>34</v>
      </c>
      <c r="D118" s="1" t="s">
        <v>16</v>
      </c>
      <c r="E118" s="1">
        <v>4</v>
      </c>
      <c r="F118" s="1">
        <f t="shared" si="5"/>
        <v>5000</v>
      </c>
      <c r="G118" s="3">
        <f t="shared" si="6"/>
        <v>20000</v>
      </c>
      <c r="H118" s="34" t="str">
        <f t="shared" si="7"/>
        <v>Апрель</v>
      </c>
    </row>
    <row r="119" spans="1:8" x14ac:dyDescent="0.25">
      <c r="A119" s="2">
        <v>45775</v>
      </c>
      <c r="B119" s="1" t="s">
        <v>8</v>
      </c>
      <c r="C119" s="1" t="s">
        <v>34</v>
      </c>
      <c r="D119" s="1" t="s">
        <v>17</v>
      </c>
      <c r="E119" s="1">
        <v>4</v>
      </c>
      <c r="F119" s="1">
        <f t="shared" si="5"/>
        <v>2100</v>
      </c>
      <c r="G119" s="3">
        <f t="shared" si="6"/>
        <v>8400</v>
      </c>
      <c r="H119" s="34" t="str">
        <f t="shared" si="7"/>
        <v>Апрель</v>
      </c>
    </row>
    <row r="120" spans="1:8" x14ac:dyDescent="0.25">
      <c r="A120" s="2">
        <v>45776</v>
      </c>
      <c r="B120" s="1" t="s">
        <v>10</v>
      </c>
      <c r="C120" s="1" t="s">
        <v>34</v>
      </c>
      <c r="D120" s="1" t="s">
        <v>18</v>
      </c>
      <c r="E120" s="1">
        <v>2</v>
      </c>
      <c r="F120" s="1">
        <f t="shared" si="5"/>
        <v>11000</v>
      </c>
      <c r="G120" s="3">
        <f t="shared" si="6"/>
        <v>22000</v>
      </c>
      <c r="H120" s="34" t="str">
        <f t="shared" si="7"/>
        <v>Апрель</v>
      </c>
    </row>
    <row r="121" spans="1:8" x14ac:dyDescent="0.25">
      <c r="A121" s="2">
        <v>45777</v>
      </c>
      <c r="B121" s="1" t="s">
        <v>11</v>
      </c>
      <c r="C121" s="1" t="s">
        <v>12</v>
      </c>
      <c r="D121" s="1" t="s">
        <v>18</v>
      </c>
      <c r="E121" s="1">
        <v>10</v>
      </c>
      <c r="F121" s="1">
        <f t="shared" si="5"/>
        <v>36000</v>
      </c>
      <c r="G121" s="3">
        <f t="shared" si="6"/>
        <v>360000</v>
      </c>
      <c r="H121" s="34" t="str">
        <f t="shared" si="7"/>
        <v>Апрель</v>
      </c>
    </row>
    <row r="122" spans="1:8" x14ac:dyDescent="0.25">
      <c r="A122" s="4">
        <v>45778</v>
      </c>
      <c r="B122" s="5" t="s">
        <v>5</v>
      </c>
      <c r="C122" s="5" t="s">
        <v>12</v>
      </c>
      <c r="D122" s="5" t="s">
        <v>17</v>
      </c>
      <c r="E122" s="5">
        <v>11</v>
      </c>
      <c r="F122" s="5">
        <f t="shared" si="5"/>
        <v>45000</v>
      </c>
      <c r="G122" s="6">
        <f t="shared" si="6"/>
        <v>495000</v>
      </c>
      <c r="H122" s="34" t="str">
        <f t="shared" si="7"/>
        <v>Май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4"/>
  <sheetViews>
    <sheetView workbookViewId="0">
      <selection activeCell="N13" sqref="N13"/>
    </sheetView>
  </sheetViews>
  <sheetFormatPr defaultRowHeight="15" x14ac:dyDescent="0.25"/>
  <cols>
    <col min="1" max="1" width="16.140625" customWidth="1"/>
    <col min="2" max="2" width="20.5703125" customWidth="1"/>
    <col min="3" max="3" width="15.85546875" customWidth="1"/>
    <col min="4" max="4" width="9" customWidth="1"/>
    <col min="5" max="5" width="13.42578125" customWidth="1"/>
    <col min="6" max="6" width="15.85546875" customWidth="1"/>
    <col min="13" max="14" width="24.140625" customWidth="1"/>
  </cols>
  <sheetData>
    <row r="2" spans="1:13" ht="18.75" x14ac:dyDescent="0.3">
      <c r="A2" s="11" t="s">
        <v>22</v>
      </c>
      <c r="B2" s="7" t="s">
        <v>23</v>
      </c>
    </row>
    <row r="3" spans="1:13" ht="18.75" x14ac:dyDescent="0.3">
      <c r="A3" s="12" t="s">
        <v>13</v>
      </c>
      <c r="B3" s="13">
        <v>835000</v>
      </c>
    </row>
    <row r="4" spans="1:13" ht="18.75" x14ac:dyDescent="0.3">
      <c r="A4" s="12" t="s">
        <v>12</v>
      </c>
      <c r="B4" s="13">
        <v>4685900</v>
      </c>
    </row>
    <row r="5" spans="1:13" ht="18.75" x14ac:dyDescent="0.3">
      <c r="A5" s="12" t="s">
        <v>21</v>
      </c>
      <c r="B5" s="13">
        <v>5520900</v>
      </c>
    </row>
    <row r="8" spans="1:13" ht="18.75" x14ac:dyDescent="0.3">
      <c r="A8" s="11" t="s">
        <v>24</v>
      </c>
      <c r="B8" s="7" t="s">
        <v>25</v>
      </c>
    </row>
    <row r="9" spans="1:13" ht="18.75" x14ac:dyDescent="0.3">
      <c r="A9" s="12" t="s">
        <v>36</v>
      </c>
      <c r="B9" s="13">
        <v>5520900</v>
      </c>
    </row>
    <row r="10" spans="1:13" ht="18.75" x14ac:dyDescent="0.3">
      <c r="A10" s="12" t="s">
        <v>37</v>
      </c>
      <c r="B10" s="13">
        <v>3786300</v>
      </c>
    </row>
    <row r="11" spans="1:13" ht="18.75" x14ac:dyDescent="0.3">
      <c r="A11" s="12" t="s">
        <v>38</v>
      </c>
      <c r="B11" s="13">
        <v>3437600</v>
      </c>
    </row>
    <row r="12" spans="1:13" ht="18.75" x14ac:dyDescent="0.3">
      <c r="A12" s="12" t="s">
        <v>39</v>
      </c>
      <c r="B12" s="13">
        <v>5199300</v>
      </c>
    </row>
    <row r="13" spans="1:13" ht="18.75" x14ac:dyDescent="0.3">
      <c r="A13" s="12" t="s">
        <v>40</v>
      </c>
      <c r="B13" s="13">
        <v>495000</v>
      </c>
    </row>
    <row r="14" spans="1:13" ht="18.75" x14ac:dyDescent="0.3">
      <c r="A14" s="12" t="s">
        <v>21</v>
      </c>
      <c r="B14" s="13">
        <v>18439100</v>
      </c>
    </row>
    <row r="15" spans="1:13" x14ac:dyDescent="0.25">
      <c r="M15" s="32"/>
    </row>
    <row r="17" spans="1:2" ht="18.75" x14ac:dyDescent="0.3">
      <c r="A17" s="11" t="s">
        <v>26</v>
      </c>
      <c r="B17" s="7" t="s">
        <v>23</v>
      </c>
    </row>
    <row r="18" spans="1:2" ht="18.75" x14ac:dyDescent="0.3">
      <c r="A18" s="12" t="s">
        <v>5</v>
      </c>
      <c r="B18" s="13">
        <v>10665000</v>
      </c>
    </row>
    <row r="19" spans="1:2" ht="18.75" x14ac:dyDescent="0.3">
      <c r="A19" s="12" t="s">
        <v>11</v>
      </c>
      <c r="B19" s="13">
        <v>4788000</v>
      </c>
    </row>
    <row r="20" spans="1:2" ht="18.75" x14ac:dyDescent="0.3">
      <c r="A20" s="12" t="s">
        <v>10</v>
      </c>
      <c r="B20" s="13">
        <v>1760000</v>
      </c>
    </row>
    <row r="21" spans="1:2" ht="18.75" x14ac:dyDescent="0.3">
      <c r="A21" s="12" t="s">
        <v>7</v>
      </c>
      <c r="B21" s="13">
        <v>790000</v>
      </c>
    </row>
    <row r="22" spans="1:2" ht="18.75" x14ac:dyDescent="0.3">
      <c r="A22" s="12" t="s">
        <v>8</v>
      </c>
      <c r="B22" s="13">
        <v>306600</v>
      </c>
    </row>
    <row r="23" spans="1:2" ht="18.75" x14ac:dyDescent="0.3">
      <c r="A23" s="12" t="s">
        <v>6</v>
      </c>
      <c r="B23" s="13">
        <v>129500</v>
      </c>
    </row>
    <row r="24" spans="1:2" ht="18.75" x14ac:dyDescent="0.3">
      <c r="A24" s="12" t="s">
        <v>21</v>
      </c>
      <c r="B24" s="13">
        <v>18439100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"/>
  <sheetViews>
    <sheetView showGridLines="0" workbookViewId="0">
      <selection activeCell="P1" sqref="P1"/>
    </sheetView>
  </sheetViews>
  <sheetFormatPr defaultRowHeight="15" x14ac:dyDescent="0.25"/>
  <cols>
    <col min="1" max="1" width="17.85546875" bestFit="1" customWidth="1"/>
    <col min="2" max="2" width="22.42578125" bestFit="1" customWidth="1"/>
    <col min="3" max="3" width="16.42578125" customWidth="1"/>
    <col min="4" max="4" width="16.42578125" bestFit="1" customWidth="1"/>
  </cols>
  <sheetData>
    <row r="1" spans="1:4" ht="40.5" customHeight="1" x14ac:dyDescent="0.25">
      <c r="A1" s="37" t="s">
        <v>29</v>
      </c>
      <c r="B1" s="37"/>
      <c r="C1" s="37"/>
      <c r="D1" s="37"/>
    </row>
    <row r="2" spans="1:4" s="14" customFormat="1" ht="19.5" customHeight="1" x14ac:dyDescent="0.3">
      <c r="A2" s="16" t="s">
        <v>30</v>
      </c>
      <c r="B2" s="17" t="s">
        <v>27</v>
      </c>
      <c r="C2" s="17" t="s">
        <v>28</v>
      </c>
      <c r="D2" s="17" t="s">
        <v>31</v>
      </c>
    </row>
    <row r="3" spans="1:4" ht="24" customHeight="1" x14ac:dyDescent="0.25">
      <c r="A3" s="18">
        <f>SUM(Данные!G:G)</f>
        <v>18439100</v>
      </c>
      <c r="B3" s="21">
        <f>SUM(Данные!E:E)</f>
        <v>1019</v>
      </c>
      <c r="C3" s="19">
        <f>A3/B3</f>
        <v>18095.289499509323</v>
      </c>
      <c r="D3" s="20" t="s">
        <v>12</v>
      </c>
    </row>
    <row r="5" spans="1:4" ht="21" customHeight="1" x14ac:dyDescent="0.25">
      <c r="A5" s="22" t="s">
        <v>22</v>
      </c>
      <c r="B5" s="22" t="s">
        <v>32</v>
      </c>
      <c r="C5" s="22" t="s">
        <v>33</v>
      </c>
      <c r="D5" s="23"/>
    </row>
    <row r="6" spans="1:4" ht="16.5" x14ac:dyDescent="0.3">
      <c r="A6" s="14" t="s">
        <v>12</v>
      </c>
      <c r="B6" s="15">
        <f>SUMIF(Данные!C:C,Дашборд!A6,Данные!G:G)</f>
        <v>15582500</v>
      </c>
      <c r="C6" s="24">
        <f>B6/SUM(Данные!G:G)</f>
        <v>0.84507920668579273</v>
      </c>
    </row>
    <row r="7" spans="1:4" x14ac:dyDescent="0.25">
      <c r="A7" s="30" t="s">
        <v>34</v>
      </c>
      <c r="B7" s="15">
        <f>SUMIF(Данные!C:C,Дашборд!A7,Данные!G:G)</f>
        <v>2811600</v>
      </c>
      <c r="C7" s="24">
        <f>B7/SUM(Данные!G:G)</f>
        <v>0.15248032713093373</v>
      </c>
    </row>
    <row r="9" spans="1:4" ht="30" customHeight="1" x14ac:dyDescent="0.25">
      <c r="A9" s="22" t="s">
        <v>24</v>
      </c>
      <c r="B9" s="22" t="s">
        <v>32</v>
      </c>
      <c r="C9" s="22" t="s">
        <v>35</v>
      </c>
    </row>
    <row r="10" spans="1:4" x14ac:dyDescent="0.25">
      <c r="A10" s="30" t="s">
        <v>36</v>
      </c>
      <c r="B10" s="15">
        <f>SUMIF(Данные!H:H,"Январь",Данные!G:G)</f>
        <v>5520900</v>
      </c>
      <c r="C10" s="25" t="s">
        <v>41</v>
      </c>
    </row>
    <row r="11" spans="1:4" x14ac:dyDescent="0.25">
      <c r="A11" t="s">
        <v>37</v>
      </c>
      <c r="B11" s="15">
        <f>SUMIF(Данные!H:H,"Февраль",Данные!G:G)</f>
        <v>3786300</v>
      </c>
      <c r="C11" s="24">
        <f>IFERROR((B11-B10)/B10,0)</f>
        <v>-0.31418790414606312</v>
      </c>
    </row>
    <row r="12" spans="1:4" x14ac:dyDescent="0.25">
      <c r="A12" s="30" t="s">
        <v>38</v>
      </c>
      <c r="B12" s="15">
        <f>SUMIF(Данные!H:H,"Март",Данные!G:G)</f>
        <v>3437600</v>
      </c>
      <c r="C12" s="24">
        <f>IFERROR((B12-B11)/B11,0)</f>
        <v>-9.2095185273221886E-2</v>
      </c>
    </row>
    <row r="13" spans="1:4" x14ac:dyDescent="0.25">
      <c r="A13" t="s">
        <v>39</v>
      </c>
      <c r="B13" s="15">
        <f>SUMIF(Данные!H:H,"Апрель",Данные!G:G)</f>
        <v>5199300</v>
      </c>
      <c r="C13" s="24">
        <f>IFERROR((B13-B12)/B12,0)</f>
        <v>0.51247963695601584</v>
      </c>
    </row>
    <row r="14" spans="1:4" x14ac:dyDescent="0.25">
      <c r="A14" s="30" t="s">
        <v>40</v>
      </c>
      <c r="B14" s="15">
        <f>SUMIF(Данные!H:H,"Май",Данные!G:G)</f>
        <v>495000</v>
      </c>
      <c r="C14" s="26" t="s">
        <v>42</v>
      </c>
    </row>
    <row r="16" spans="1:4" ht="15" customHeight="1" x14ac:dyDescent="0.25">
      <c r="A16" s="22" t="s">
        <v>26</v>
      </c>
      <c r="B16" s="22" t="s">
        <v>32</v>
      </c>
      <c r="C16" s="22" t="s">
        <v>33</v>
      </c>
      <c r="D16" s="23"/>
    </row>
    <row r="17" spans="1:14" x14ac:dyDescent="0.25">
      <c r="A17" s="28" t="s">
        <v>5</v>
      </c>
      <c r="B17" s="31">
        <f>SUMIF(Данные!B:B,Дашборд!A17,Данные!G:G)</f>
        <v>10665000</v>
      </c>
      <c r="C17" s="24">
        <f>B17/SUM(Данные!G:G)</f>
        <v>0.57839048543584015</v>
      </c>
    </row>
    <row r="18" spans="1:14" x14ac:dyDescent="0.25">
      <c r="A18" s="29" t="s">
        <v>6</v>
      </c>
      <c r="B18" s="31">
        <f>SUMIF(Данные!B:B,Дашборд!A18,Данные!G:G)</f>
        <v>129500</v>
      </c>
      <c r="C18" s="24">
        <f>B18/SUM(Данные!G:G)</f>
        <v>7.0231193496428784E-3</v>
      </c>
    </row>
    <row r="19" spans="1:14" x14ac:dyDescent="0.25">
      <c r="A19" s="28" t="s">
        <v>7</v>
      </c>
      <c r="B19" s="31">
        <f>SUMIF(Данные!B:B,Дашборд!A19,Данные!G:G)</f>
        <v>790000</v>
      </c>
      <c r="C19" s="24">
        <f>B19/SUM(Данные!G:G)</f>
        <v>4.2843739661914085E-2</v>
      </c>
    </row>
    <row r="20" spans="1:14" x14ac:dyDescent="0.25">
      <c r="A20" s="29" t="s">
        <v>8</v>
      </c>
      <c r="B20" s="31">
        <f>SUMIF(Данные!B:B,Дашборд!A20,Данные!G:G)</f>
        <v>306600</v>
      </c>
      <c r="C20" s="24">
        <f>B20/SUM(Данные!G:G)</f>
        <v>1.6627709595370709E-2</v>
      </c>
    </row>
    <row r="21" spans="1:14" x14ac:dyDescent="0.25">
      <c r="A21" s="28" t="s">
        <v>10</v>
      </c>
      <c r="B21" s="31">
        <f>SUMIF(Данные!B:B,Дашборд!A21,Данные!G:G)</f>
        <v>1760000</v>
      </c>
      <c r="C21" s="24">
        <f>B21/SUM(Данные!G:G)</f>
        <v>9.5449344056922514E-2</v>
      </c>
    </row>
    <row r="22" spans="1:14" x14ac:dyDescent="0.25">
      <c r="A22" s="29" t="s">
        <v>11</v>
      </c>
      <c r="B22" s="31">
        <f>SUMIF(Данные!B:B,Дашборд!A22,Данные!G:G)</f>
        <v>4788000</v>
      </c>
      <c r="C22" s="24">
        <f>B22/SUM(Данные!G:G)</f>
        <v>0.25966560190030968</v>
      </c>
    </row>
    <row r="23" spans="1:14" x14ac:dyDescent="0.25">
      <c r="A23" s="27"/>
      <c r="B23" s="27"/>
    </row>
    <row r="24" spans="1:14" x14ac:dyDescent="0.25">
      <c r="A24" s="27"/>
      <c r="B24" s="27"/>
    </row>
    <row r="25" spans="1:14" x14ac:dyDescent="0.25">
      <c r="A25" s="38" t="s">
        <v>43</v>
      </c>
      <c r="B25" s="38"/>
      <c r="C25" s="38"/>
      <c r="D25" s="38"/>
    </row>
    <row r="26" spans="1:14" x14ac:dyDescent="0.25">
      <c r="A26" s="36" t="s">
        <v>44</v>
      </c>
      <c r="B26" s="36"/>
      <c r="C26" s="36"/>
      <c r="D26" s="36"/>
    </row>
    <row r="27" spans="1:14" ht="18.75" x14ac:dyDescent="0.3">
      <c r="A27" s="36" t="s">
        <v>45</v>
      </c>
      <c r="B27" s="36"/>
      <c r="C27" s="36"/>
      <c r="D27" s="36"/>
      <c r="I27" s="7"/>
      <c r="J27" s="7"/>
      <c r="K27" s="7"/>
      <c r="L27" s="7"/>
      <c r="M27" s="7"/>
      <c r="N27" s="7"/>
    </row>
    <row r="28" spans="1:14" ht="18" customHeight="1" x14ac:dyDescent="0.3">
      <c r="A28" s="36" t="s">
        <v>47</v>
      </c>
      <c r="B28" s="36"/>
      <c r="C28" s="36"/>
      <c r="D28" s="36"/>
      <c r="I28" s="7"/>
      <c r="J28" s="7"/>
      <c r="K28" s="7"/>
      <c r="L28" s="7"/>
      <c r="M28" s="7"/>
      <c r="N28" s="7"/>
    </row>
    <row r="29" spans="1:14" ht="33" customHeight="1" x14ac:dyDescent="0.3">
      <c r="A29" s="36" t="s">
        <v>46</v>
      </c>
      <c r="B29" s="36"/>
      <c r="C29" s="36"/>
      <c r="D29" s="36"/>
      <c r="I29" s="7"/>
      <c r="J29" s="7"/>
      <c r="K29" s="7"/>
      <c r="L29" s="7"/>
      <c r="M29" s="7"/>
      <c r="N29" s="7"/>
    </row>
    <row r="30" spans="1:14" x14ac:dyDescent="0.25">
      <c r="A30" s="36" t="s">
        <v>48</v>
      </c>
      <c r="B30" s="36"/>
      <c r="C30" s="36"/>
      <c r="D30" s="36"/>
    </row>
  </sheetData>
  <mergeCells count="7">
    <mergeCell ref="A30:D30"/>
    <mergeCell ref="A1:D1"/>
    <mergeCell ref="A25:D25"/>
    <mergeCell ref="A26:D26"/>
    <mergeCell ref="A27:D27"/>
    <mergeCell ref="A28:D28"/>
    <mergeCell ref="A29:D29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Данные</vt:lpstr>
      <vt:lpstr>Анализ</vt:lpstr>
      <vt:lpstr>Дашборд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2026-03-19T09:31:23Z</dcterms:modified>
</cp:coreProperties>
</file>